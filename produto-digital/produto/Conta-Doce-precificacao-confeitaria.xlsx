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Custos do mês" sheetId="2" state="visible" r:id="rId2"/>
    <sheet xmlns:r="http://schemas.openxmlformats.org/officeDocument/2006/relationships" name="Insumos" sheetId="3" state="visible" r:id="rId3"/>
    <sheet xmlns:r="http://schemas.openxmlformats.org/officeDocument/2006/relationships" name="Ficha 1" sheetId="4" state="visible" r:id="rId4"/>
    <sheet xmlns:r="http://schemas.openxmlformats.org/officeDocument/2006/relationships" name="Ficha 2" sheetId="5" state="visible" r:id="rId5"/>
    <sheet xmlns:r="http://schemas.openxmlformats.org/officeDocument/2006/relationships" name="Ficha 3" sheetId="6" state="visible" r:id="rId6"/>
    <sheet xmlns:r="http://schemas.openxmlformats.org/officeDocument/2006/relationships" name="Ficha 4" sheetId="7" state="visible" r:id="rId7"/>
    <sheet xmlns:r="http://schemas.openxmlformats.org/officeDocument/2006/relationships" name="Ficha 5" sheetId="8" state="visible" r:id="rId8"/>
    <sheet xmlns:r="http://schemas.openxmlformats.org/officeDocument/2006/relationships" name="Ficha 6" sheetId="9" state="visible" r:id="rId9"/>
    <sheet xmlns:r="http://schemas.openxmlformats.org/officeDocument/2006/relationships" name="Tabela WhatsApp" sheetId="10" state="visible" r:id="rId10"/>
    <sheet xmlns:r="http://schemas.openxmlformats.org/officeDocument/2006/relationships" name="Exemp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.0000"/>
    <numFmt numFmtId="166" formatCode="0.##"/>
  </numFmts>
  <fonts count="6">
    <font>
      <name val="Calibri"/>
      <family val="2"/>
      <color theme="1"/>
      <sz val="11"/>
      <scheme val="minor"/>
    </font>
    <font>
      <name val="Arial"/>
      <b val="1"/>
      <color rgb="002B2420"/>
      <sz val="16"/>
    </font>
    <font>
      <name val="Arial"/>
      <b val="1"/>
      <color rgb="002B2420"/>
      <sz val="11"/>
    </font>
    <font>
      <name val="Arial"/>
      <color rgb="002B2420"/>
      <sz val="11"/>
    </font>
    <font>
      <name val="Arial"/>
      <i val="1"/>
      <color rgb="007A6E66"/>
      <sz val="10"/>
    </font>
    <font>
      <name val="Arial"/>
      <b val="1"/>
      <color rgb="00B3261E"/>
      <sz val="10"/>
    </font>
  </fonts>
  <fills count="4">
    <fill>
      <patternFill/>
    </fill>
    <fill>
      <patternFill patternType="gray125"/>
    </fill>
    <fill>
      <patternFill patternType="solid">
        <fgColor rgb="00FFF8EF"/>
      </patternFill>
    </fill>
    <fill>
      <patternFill patternType="solid">
        <fgColor rgb="00DDEFD9"/>
      </patternFill>
    </fill>
  </fills>
  <borders count="6">
    <border>
      <left/>
      <right/>
      <top/>
      <bottom/>
      <diagonal/>
    </border>
    <border>
      <left style="thin">
        <color rgb="00E5D9CF"/>
      </left>
      <right style="thin">
        <color rgb="00E5D9CF"/>
      </right>
      <top style="thin">
        <color rgb="00E5D9CF"/>
      </top>
      <bottom style="thin">
        <color rgb="00E5D9CF"/>
      </bottom>
    </border>
    <border>
      <left/>
      <right/>
      <top style="thin">
        <color rgb="00E5D9CF"/>
      </top>
      <bottom/>
      <diagonal/>
    </border>
    <border>
      <left/>
      <right style="thin">
        <color rgb="00E5D9CF"/>
      </right>
      <top style="thin">
        <color rgb="00E5D9CF"/>
      </top>
      <bottom/>
      <diagonal/>
    </border>
    <border>
      <left/>
      <right/>
      <top style="thin">
        <color rgb="00E5D9CF"/>
      </top>
      <bottom style="thin">
        <color rgb="00E5D9CF"/>
      </bottom>
      <diagonal/>
    </border>
    <border>
      <left/>
      <right style="thin">
        <color rgb="00E5D9CF"/>
      </right>
      <top style="thin">
        <color rgb="00E5D9CF"/>
      </top>
      <bottom style="thin">
        <color rgb="00E5D9C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2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3" fillId="2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9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5" fontId="3" fillId="3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166" fontId="3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9" fontId="3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Conta Doce · o preço do seu doce em 15 minutos</t>
        </is>
      </c>
    </row>
    <row r="4">
      <c r="B4" s="2" t="inlineStr">
        <is>
          <t>Células em creme</t>
        </is>
      </c>
    </row>
    <row r="5" ht="32" customHeight="1">
      <c r="B5" s="3" t="inlineStr">
        <is>
          <t>são as que você preenche. As verdes são calculadas sozinhas. Não apague fórmulas.</t>
        </is>
      </c>
    </row>
    <row r="7">
      <c r="B7" s="2" t="inlineStr">
        <is>
          <t>Passo 1 · Custos do mês (5 min)</t>
        </is>
      </c>
    </row>
    <row r="8" ht="32" customHeight="1">
      <c r="B8" s="3" t="inlineStr">
        <is>
          <t>quanto você quer ganhar por mês, quantas horas trabalha na confeitaria e os gastos fixos (gás, luz, internet, DAS).</t>
        </is>
      </c>
    </row>
    <row r="10">
      <c r="B10" s="2" t="inlineStr">
        <is>
          <t>Passo 2 · Insumos (5 min)</t>
        </is>
      </c>
    </row>
    <row r="11" ht="32" customHeight="1">
      <c r="B11" s="3" t="inlineStr">
        <is>
          <t>escreva o preço que você pagou só nos ingredientes do seu doce mais vendido. A lista já traz tamanhos comuns de embalagem: confira se o seu é igual.</t>
        </is>
      </c>
    </row>
    <row r="13">
      <c r="B13" s="2" t="inlineStr">
        <is>
          <t>Passo 3 · Ficha 1 (5 min)</t>
        </is>
      </c>
    </row>
    <row r="14" ht="32" customHeight="1">
      <c r="B14" s="3" t="inlineStr">
        <is>
          <t>escolha os ingredientes na lista, diga quanto usa, quantas unidades rende e quanto tempo leva. Pronto: aparece o custo real, o preço mínimo e o preço sugerido.</t>
        </is>
      </c>
    </row>
    <row r="16">
      <c r="B16" s="2" t="inlineStr">
        <is>
          <t>Tabela WhatsApp</t>
        </is>
      </c>
    </row>
    <row r="17" ht="32" customHeight="1">
      <c r="B17" s="3" t="inlineStr">
        <is>
          <t>junta os preços de todas as fichas em linhas prontas para copiar e mandar para clientes.</t>
        </is>
      </c>
    </row>
    <row r="19">
      <c r="B19" s="2" t="inlineStr">
        <is>
          <t>Exemplo</t>
        </is>
      </c>
    </row>
    <row r="20" ht="32" customHeight="1">
      <c r="B20" s="3" t="inlineStr">
        <is>
          <t>mostra uma ficha preenchida com valores de exemplo. Os valores do exemplo NÃO são preços de mercado.</t>
        </is>
      </c>
    </row>
    <row r="22">
      <c r="B22" s="2" t="inlineStr">
        <is>
          <t>Limites</t>
        </is>
      </c>
    </row>
    <row r="23" ht="32" customHeight="1">
      <c r="B23" s="3" t="inlineStr">
        <is>
          <t>a planilha calcula a partir dos números que você coloca. Ela não sabe o preço da sua região nem garante vendas. Revise os preços dos insumos quando fizer compras.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60" customWidth="1" min="3" max="3"/>
  </cols>
  <sheetData>
    <row r="1">
      <c r="A1" s="1" t="inlineStr">
        <is>
          <t>Custos do mês</t>
        </is>
      </c>
    </row>
    <row r="3">
      <c r="A3" s="4" t="inlineStr">
        <is>
          <t>Quanto você quer ganhar por mês pelo seu trabalho</t>
        </is>
      </c>
      <c r="B3" s="5" t="n">
        <v>2000</v>
      </c>
      <c r="C3" s="6" t="inlineStr">
        <is>
          <t>seu pró-labore: o salário que você se paga</t>
        </is>
      </c>
    </row>
    <row r="4">
      <c r="A4" s="4" t="inlineStr">
        <is>
          <t>Horas por mês trabalhando na confeitaria</t>
        </is>
      </c>
      <c r="B4" s="7" t="n">
        <v>120</v>
      </c>
      <c r="C4" s="6" t="inlineStr">
        <is>
          <t>conte produção, compras, embalagem e atendimento</t>
        </is>
      </c>
    </row>
    <row r="5">
      <c r="A5" s="2" t="inlineStr">
        <is>
          <t>Valor da sua hora</t>
        </is>
      </c>
      <c r="B5" s="8">
        <f>IFERROR(B3/B4,0)</f>
        <v/>
      </c>
    </row>
    <row r="6">
      <c r="A6" s="2" t="inlineStr">
        <is>
          <t>Gastos fixos por mês</t>
        </is>
      </c>
    </row>
    <row r="7">
      <c r="A7" s="4" t="inlineStr">
        <is>
          <t>Gás (parte da confeitaria)</t>
        </is>
      </c>
      <c r="B7" s="5" t="n">
        <v>0</v>
      </c>
      <c r="C7" s="6" t="inlineStr"/>
    </row>
    <row r="8">
      <c r="A8" s="4" t="inlineStr">
        <is>
          <t>Energia (parte da confeitaria)</t>
        </is>
      </c>
      <c r="B8" s="5" t="n">
        <v>0</v>
      </c>
      <c r="C8" s="6" t="inlineStr"/>
    </row>
    <row r="9">
      <c r="A9" s="4" t="inlineStr">
        <is>
          <t>Água (parte da confeitaria)</t>
        </is>
      </c>
      <c r="B9" s="5" t="n">
        <v>0</v>
      </c>
      <c r="C9" s="6" t="inlineStr"/>
    </row>
    <row r="10">
      <c r="A10" s="4" t="inlineStr">
        <is>
          <t>Internet e celular (parte do negócio)</t>
        </is>
      </c>
      <c r="B10" s="5" t="n">
        <v>0</v>
      </c>
      <c r="C10" s="6" t="inlineStr"/>
    </row>
    <row r="11">
      <c r="A11" s="4" t="inlineStr">
        <is>
          <t>DAS do MEI ou impostos</t>
        </is>
      </c>
      <c r="B11" s="5" t="n">
        <v>0</v>
      </c>
      <c r="C11" s="6" t="inlineStr">
        <is>
          <t>confira o valor do seu boleto</t>
        </is>
      </c>
    </row>
    <row r="12">
      <c r="A12" s="4" t="inlineStr">
        <is>
          <t>Utensílios, manutenção e reposição</t>
        </is>
      </c>
      <c r="B12" s="5" t="n">
        <v>0</v>
      </c>
      <c r="C12" s="6" t="inlineStr"/>
    </row>
    <row r="13">
      <c r="A13" s="4" t="inlineStr">
        <is>
          <t>Outros gastos fixos</t>
        </is>
      </c>
      <c r="B13" s="5" t="n">
        <v>0</v>
      </c>
      <c r="C13" s="6" t="inlineStr"/>
    </row>
    <row r="14">
      <c r="A14" s="2" t="inlineStr">
        <is>
          <t>Total de gastos fixos</t>
        </is>
      </c>
      <c r="B14" s="8">
        <f>SUM(B7:B13)</f>
        <v/>
      </c>
    </row>
    <row r="15">
      <c r="A15" s="2" t="inlineStr">
        <is>
          <t>Gasto fixo por hora trabalhada</t>
        </is>
      </c>
      <c r="B15" s="8">
        <f>IFERROR(B14/B4,0)</f>
        <v/>
      </c>
    </row>
    <row r="16">
      <c r="A16" s="2" t="inlineStr">
        <is>
          <t>Taxas e margem</t>
        </is>
      </c>
    </row>
    <row r="17">
      <c r="A17" s="4" t="inlineStr">
        <is>
          <t>Taxa da maquininha ou do link de pagamento</t>
        </is>
      </c>
      <c r="B17" s="9" t="n">
        <v>0.04</v>
      </c>
      <c r="C17" s="6" t="inlineStr">
        <is>
          <t>exemplo de 4%: troque pela taxa do seu contrato</t>
        </is>
      </c>
    </row>
    <row r="18">
      <c r="A18" s="4" t="inlineStr">
        <is>
          <t>Taxa do aplicativo de delivery (se usar)</t>
        </is>
      </c>
      <c r="B18" s="9" t="n">
        <v>0</v>
      </c>
      <c r="C18" s="6" t="inlineStr">
        <is>
          <t>confira no seu contrato; deixe 0% se não usa</t>
        </is>
      </c>
    </row>
    <row r="19">
      <c r="A19" s="4" t="inlineStr">
        <is>
          <t>Margem de lucro desejada</t>
        </is>
      </c>
      <c r="B19" s="9" t="n">
        <v>0.3</v>
      </c>
      <c r="C19" s="6" t="inlineStr">
        <is>
          <t>quanto sobra para o negócio além do seu pró-labore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Insumos e embalagens</t>
        </is>
      </c>
    </row>
    <row r="2">
      <c r="A2" s="6" t="inlineStr">
        <is>
          <t>Preencha o preço só do que você usa. Tamanhos de embalagem são comuns no mercado: confira o seu.</t>
        </is>
      </c>
    </row>
    <row r="4">
      <c r="A4" s="2" t="inlineStr">
        <is>
          <t>Insumo</t>
        </is>
      </c>
      <c r="B4" s="2" t="inlineStr">
        <is>
          <t>Unidade</t>
        </is>
      </c>
      <c r="C4" s="2" t="inlineStr">
        <is>
          <t>Qtd na embalagem</t>
        </is>
      </c>
      <c r="D4" s="2" t="inlineStr">
        <is>
          <t>Preço pago</t>
        </is>
      </c>
      <c r="E4" s="2" t="inlineStr">
        <is>
          <t>Custo por unidade</t>
        </is>
      </c>
    </row>
    <row r="5">
      <c r="A5" s="10" t="inlineStr">
        <is>
          <t>Leite condensado</t>
        </is>
      </c>
      <c r="B5" s="10" t="inlineStr">
        <is>
          <t>g</t>
        </is>
      </c>
      <c r="C5" s="10" t="n">
        <v>395</v>
      </c>
      <c r="D5" s="5" t="n"/>
      <c r="E5" s="11">
        <f>IF(AND(C5&gt;0,D5&gt;0),D5/C5,"")</f>
        <v/>
      </c>
    </row>
    <row r="6">
      <c r="A6" s="10" t="inlineStr">
        <is>
          <t>Creme de leite</t>
        </is>
      </c>
      <c r="B6" s="10" t="inlineStr">
        <is>
          <t>g</t>
        </is>
      </c>
      <c r="C6" s="10" t="n">
        <v>200</v>
      </c>
      <c r="D6" s="5" t="n"/>
      <c r="E6" s="11">
        <f>IF(AND(C6&gt;0,D6&gt;0),D6/C6,"")</f>
        <v/>
      </c>
    </row>
    <row r="7">
      <c r="A7" s="10" t="inlineStr">
        <is>
          <t>Leite integral</t>
        </is>
      </c>
      <c r="B7" s="10" t="inlineStr">
        <is>
          <t>ml</t>
        </is>
      </c>
      <c r="C7" s="10" t="n">
        <v>1000</v>
      </c>
      <c r="D7" s="5" t="n"/>
      <c r="E7" s="11">
        <f>IF(AND(C7&gt;0,D7&gt;0),D7/C7,"")</f>
        <v/>
      </c>
    </row>
    <row r="8">
      <c r="A8" s="10" t="inlineStr">
        <is>
          <t>Leite em pó</t>
        </is>
      </c>
      <c r="B8" s="10" t="inlineStr">
        <is>
          <t>g</t>
        </is>
      </c>
      <c r="C8" s="10" t="n">
        <v>200</v>
      </c>
      <c r="D8" s="5" t="n"/>
      <c r="E8" s="11">
        <f>IF(AND(C8&gt;0,D8&gt;0),D8/C8,"")</f>
        <v/>
      </c>
    </row>
    <row r="9">
      <c r="A9" s="10" t="inlineStr">
        <is>
          <t>Manteiga sem sal</t>
        </is>
      </c>
      <c r="B9" s="10" t="inlineStr">
        <is>
          <t>g</t>
        </is>
      </c>
      <c r="C9" s="10" t="n">
        <v>200</v>
      </c>
      <c r="D9" s="5" t="n"/>
      <c r="E9" s="11">
        <f>IF(AND(C9&gt;0,D9&gt;0),D9/C9,"")</f>
        <v/>
      </c>
    </row>
    <row r="10">
      <c r="A10" s="10" t="inlineStr">
        <is>
          <t>Margarina</t>
        </is>
      </c>
      <c r="B10" s="10" t="inlineStr">
        <is>
          <t>g</t>
        </is>
      </c>
      <c r="C10" s="10" t="n">
        <v>500</v>
      </c>
      <c r="D10" s="5" t="n"/>
      <c r="E10" s="11">
        <f>IF(AND(C10&gt;0,D10&gt;0),D10/C10,"")</f>
        <v/>
      </c>
    </row>
    <row r="11">
      <c r="A11" s="10" t="inlineStr">
        <is>
          <t>Açúcar refinado</t>
        </is>
      </c>
      <c r="B11" s="10" t="inlineStr">
        <is>
          <t>g</t>
        </is>
      </c>
      <c r="C11" s="10" t="n">
        <v>1000</v>
      </c>
      <c r="D11" s="5" t="n"/>
      <c r="E11" s="11">
        <f>IF(AND(C11&gt;0,D11&gt;0),D11/C11,"")</f>
        <v/>
      </c>
    </row>
    <row r="12">
      <c r="A12" s="10" t="inlineStr">
        <is>
          <t>Açúcar de confeiteiro</t>
        </is>
      </c>
      <c r="B12" s="10" t="inlineStr">
        <is>
          <t>g</t>
        </is>
      </c>
      <c r="C12" s="10" t="n">
        <v>500</v>
      </c>
      <c r="D12" s="5" t="n"/>
      <c r="E12" s="11">
        <f>IF(AND(C12&gt;0,D12&gt;0),D12/C12,"")</f>
        <v/>
      </c>
    </row>
    <row r="13">
      <c r="A13" s="10" t="inlineStr">
        <is>
          <t>Farinha de trigo</t>
        </is>
      </c>
      <c r="B13" s="10" t="inlineStr">
        <is>
          <t>g</t>
        </is>
      </c>
      <c r="C13" s="10" t="n">
        <v>1000</v>
      </c>
      <c r="D13" s="5" t="n"/>
      <c r="E13" s="11">
        <f>IF(AND(C13&gt;0,D13&gt;0),D13/C13,"")</f>
        <v/>
      </c>
    </row>
    <row r="14">
      <c r="A14" s="10" t="inlineStr">
        <is>
          <t>Fermento químico</t>
        </is>
      </c>
      <c r="B14" s="10" t="inlineStr">
        <is>
          <t>g</t>
        </is>
      </c>
      <c r="C14" s="10" t="n">
        <v>100</v>
      </c>
      <c r="D14" s="5" t="n"/>
      <c r="E14" s="11">
        <f>IF(AND(C14&gt;0,D14&gt;0),D14/C14,"")</f>
        <v/>
      </c>
    </row>
    <row r="15">
      <c r="A15" s="10" t="inlineStr">
        <is>
          <t>Amido de milho</t>
        </is>
      </c>
      <c r="B15" s="10" t="inlineStr">
        <is>
          <t>g</t>
        </is>
      </c>
      <c r="C15" s="10" t="n">
        <v>500</v>
      </c>
      <c r="D15" s="5" t="n"/>
      <c r="E15" s="11">
        <f>IF(AND(C15&gt;0,D15&gt;0),D15/C15,"")</f>
        <v/>
      </c>
    </row>
    <row r="16">
      <c r="A16" s="10" t="inlineStr">
        <is>
          <t>Ovos</t>
        </is>
      </c>
      <c r="B16" s="10" t="inlineStr">
        <is>
          <t>un</t>
        </is>
      </c>
      <c r="C16" s="10" t="n">
        <v>12</v>
      </c>
      <c r="D16" s="5" t="n"/>
      <c r="E16" s="11">
        <f>IF(AND(C16&gt;0,D16&gt;0),D16/C16,"")</f>
        <v/>
      </c>
    </row>
    <row r="17">
      <c r="A17" s="10" t="inlineStr">
        <is>
          <t>Chocolate em pó 50%</t>
        </is>
      </c>
      <c r="B17" s="10" t="inlineStr">
        <is>
          <t>g</t>
        </is>
      </c>
      <c r="C17" s="10" t="n">
        <v>200</v>
      </c>
      <c r="D17" s="5" t="n"/>
      <c r="E17" s="11">
        <f>IF(AND(C17&gt;0,D17&gt;0),D17/C17,"")</f>
        <v/>
      </c>
    </row>
    <row r="18">
      <c r="A18" s="10" t="inlineStr">
        <is>
          <t>Cacau em pó 100%</t>
        </is>
      </c>
      <c r="B18" s="10" t="inlineStr">
        <is>
          <t>g</t>
        </is>
      </c>
      <c r="C18" s="10" t="n">
        <v>200</v>
      </c>
      <c r="D18" s="5" t="n"/>
      <c r="E18" s="11">
        <f>IF(AND(C18&gt;0,D18&gt;0),D18/C18,"")</f>
        <v/>
      </c>
    </row>
    <row r="19">
      <c r="A19" s="10" t="inlineStr">
        <is>
          <t>Chocolate meio amargo (barra)</t>
        </is>
      </c>
      <c r="B19" s="10" t="inlineStr">
        <is>
          <t>g</t>
        </is>
      </c>
      <c r="C19" s="10" t="n">
        <v>1000</v>
      </c>
      <c r="D19" s="5" t="n"/>
      <c r="E19" s="11">
        <f>IF(AND(C19&gt;0,D19&gt;0),D19/C19,"")</f>
        <v/>
      </c>
    </row>
    <row r="20">
      <c r="A20" s="10" t="inlineStr">
        <is>
          <t>Chocolate ao leite (barra)</t>
        </is>
      </c>
      <c r="B20" s="10" t="inlineStr">
        <is>
          <t>g</t>
        </is>
      </c>
      <c r="C20" s="10" t="n">
        <v>1000</v>
      </c>
      <c r="D20" s="5" t="n"/>
      <c r="E20" s="11">
        <f>IF(AND(C20&gt;0,D20&gt;0),D20/C20,"")</f>
        <v/>
      </c>
    </row>
    <row r="21">
      <c r="A21" s="10" t="inlineStr">
        <is>
          <t>Chocolate branco (barra)</t>
        </is>
      </c>
      <c r="B21" s="10" t="inlineStr">
        <is>
          <t>g</t>
        </is>
      </c>
      <c r="C21" s="10" t="n">
        <v>1000</v>
      </c>
      <c r="D21" s="5" t="n"/>
      <c r="E21" s="11">
        <f>IF(AND(C21&gt;0,D21&gt;0),D21/C21,"")</f>
        <v/>
      </c>
    </row>
    <row r="22">
      <c r="A22" s="10" t="inlineStr">
        <is>
          <t>Granulado</t>
        </is>
      </c>
      <c r="B22" s="10" t="inlineStr">
        <is>
          <t>g</t>
        </is>
      </c>
      <c r="C22" s="10" t="n">
        <v>500</v>
      </c>
      <c r="D22" s="5" t="n"/>
      <c r="E22" s="11">
        <f>IF(AND(C22&gt;0,D22&gt;0),D22/C22,"")</f>
        <v/>
      </c>
    </row>
    <row r="23">
      <c r="A23" s="10" t="inlineStr">
        <is>
          <t>Coco ralado</t>
        </is>
      </c>
      <c r="B23" s="10" t="inlineStr">
        <is>
          <t>g</t>
        </is>
      </c>
      <c r="C23" s="10" t="n">
        <v>100</v>
      </c>
      <c r="D23" s="5" t="n"/>
      <c r="E23" s="11">
        <f>IF(AND(C23&gt;0,D23&gt;0),D23/C23,"")</f>
        <v/>
      </c>
    </row>
    <row r="24">
      <c r="A24" s="10" t="inlineStr">
        <is>
          <t>Leite de coco</t>
        </is>
      </c>
      <c r="B24" s="10" t="inlineStr">
        <is>
          <t>ml</t>
        </is>
      </c>
      <c r="C24" s="10" t="n">
        <v>200</v>
      </c>
      <c r="D24" s="5" t="n"/>
      <c r="E24" s="11">
        <f>IF(AND(C24&gt;0,D24&gt;0),D24/C24,"")</f>
        <v/>
      </c>
    </row>
    <row r="25">
      <c r="A25" s="10" t="inlineStr">
        <is>
          <t>Doce de leite</t>
        </is>
      </c>
      <c r="B25" s="10" t="inlineStr">
        <is>
          <t>g</t>
        </is>
      </c>
      <c r="C25" s="10" t="n">
        <v>400</v>
      </c>
      <c r="D25" s="5" t="n"/>
      <c r="E25" s="11">
        <f>IF(AND(C25&gt;0,D25&gt;0),D25/C25,"")</f>
        <v/>
      </c>
    </row>
    <row r="26">
      <c r="A26" s="10" t="inlineStr">
        <is>
          <t>Nutella ou creme de avelã</t>
        </is>
      </c>
      <c r="B26" s="10" t="inlineStr">
        <is>
          <t>g</t>
        </is>
      </c>
      <c r="C26" s="10" t="n">
        <v>350</v>
      </c>
      <c r="D26" s="5" t="n"/>
      <c r="E26" s="11">
        <f>IF(AND(C26&gt;0,D26&gt;0),D26/C26,"")</f>
        <v/>
      </c>
    </row>
    <row r="27">
      <c r="A27" s="10" t="inlineStr">
        <is>
          <t>Morango</t>
        </is>
      </c>
      <c r="B27" s="10" t="inlineStr">
        <is>
          <t>g</t>
        </is>
      </c>
      <c r="C27" s="10" t="n">
        <v>250</v>
      </c>
      <c r="D27" s="5" t="n"/>
      <c r="E27" s="11">
        <f>IF(AND(C27&gt;0,D27&gt;0),D27/C27,"")</f>
        <v/>
      </c>
    </row>
    <row r="28">
      <c r="A28" s="10" t="inlineStr">
        <is>
          <t>Limão</t>
        </is>
      </c>
      <c r="B28" s="10" t="inlineStr">
        <is>
          <t>un</t>
        </is>
      </c>
      <c r="C28" s="10" t="n">
        <v>1</v>
      </c>
      <c r="D28" s="5" t="n"/>
      <c r="E28" s="11">
        <f>IF(AND(C28&gt;0,D28&gt;0),D28/C28,"")</f>
        <v/>
      </c>
    </row>
    <row r="29">
      <c r="A29" s="10" t="inlineStr">
        <is>
          <t>Maracujá (polpa)</t>
        </is>
      </c>
      <c r="B29" s="10" t="inlineStr">
        <is>
          <t>g</t>
        </is>
      </c>
      <c r="C29" s="10" t="n">
        <v>100</v>
      </c>
      <c r="D29" s="5" t="n"/>
      <c r="E29" s="11">
        <f>IF(AND(C29&gt;0,D29&gt;0),D29/C29,"")</f>
        <v/>
      </c>
    </row>
    <row r="30">
      <c r="A30" s="10" t="inlineStr">
        <is>
          <t>Essência de baunilha</t>
        </is>
      </c>
      <c r="B30" s="10" t="inlineStr">
        <is>
          <t>ml</t>
        </is>
      </c>
      <c r="C30" s="10" t="n">
        <v>30</v>
      </c>
      <c r="D30" s="5" t="n"/>
      <c r="E30" s="11">
        <f>IF(AND(C30&gt;0,D30&gt;0),D30/C30,"")</f>
        <v/>
      </c>
    </row>
    <row r="31">
      <c r="A31" s="10" t="inlineStr">
        <is>
          <t>Óleo</t>
        </is>
      </c>
      <c r="B31" s="10" t="inlineStr">
        <is>
          <t>ml</t>
        </is>
      </c>
      <c r="C31" s="10" t="n">
        <v>900</v>
      </c>
      <c r="D31" s="5" t="n"/>
      <c r="E31" s="11">
        <f>IF(AND(C31&gt;0,D31&gt;0),D31/C31,"")</f>
        <v/>
      </c>
    </row>
    <row r="32">
      <c r="A32" s="10" t="inlineStr">
        <is>
          <t>Glucose de milho</t>
        </is>
      </c>
      <c r="B32" s="10" t="inlineStr">
        <is>
          <t>g</t>
        </is>
      </c>
      <c r="C32" s="10" t="n">
        <v>350</v>
      </c>
      <c r="D32" s="5" t="n"/>
      <c r="E32" s="11">
        <f>IF(AND(C32&gt;0,D32&gt;0),D32/C32,"")</f>
        <v/>
      </c>
    </row>
    <row r="33">
      <c r="A33" s="10" t="inlineStr">
        <is>
          <t>Gelatina sem sabor</t>
        </is>
      </c>
      <c r="B33" s="10" t="inlineStr">
        <is>
          <t>g</t>
        </is>
      </c>
      <c r="C33" s="10" t="n">
        <v>12</v>
      </c>
      <c r="D33" s="5" t="n"/>
      <c r="E33" s="11">
        <f>IF(AND(C33&gt;0,D33&gt;0),D33/C33,"")</f>
        <v/>
      </c>
    </row>
    <row r="34">
      <c r="A34" s="10" t="inlineStr">
        <is>
          <t>Corante em gel</t>
        </is>
      </c>
      <c r="B34" s="10" t="inlineStr">
        <is>
          <t>g</t>
        </is>
      </c>
      <c r="C34" s="10" t="n">
        <v>15</v>
      </c>
      <c r="D34" s="5" t="n"/>
      <c r="E34" s="11">
        <f>IF(AND(C34&gt;0,D34&gt;0),D34/C34,"")</f>
        <v/>
      </c>
    </row>
    <row r="35">
      <c r="A35" s="10" t="inlineStr">
        <is>
          <t>Paçoca</t>
        </is>
      </c>
      <c r="B35" s="10" t="inlineStr">
        <is>
          <t>un</t>
        </is>
      </c>
      <c r="C35" s="10" t="n">
        <v>50</v>
      </c>
      <c r="D35" s="5" t="n"/>
      <c r="E35" s="11">
        <f>IF(AND(C35&gt;0,D35&gt;0),D35/C35,"")</f>
        <v/>
      </c>
    </row>
    <row r="36">
      <c r="A36" s="10" t="inlineStr">
        <is>
          <t>Castanha de caju</t>
        </is>
      </c>
      <c r="B36" s="10" t="inlineStr">
        <is>
          <t>g</t>
        </is>
      </c>
      <c r="C36" s="10" t="n">
        <v>100</v>
      </c>
      <c r="D36" s="5" t="n"/>
      <c r="E36" s="11">
        <f>IF(AND(C36&gt;0,D36&gt;0),D36/C36,"")</f>
        <v/>
      </c>
    </row>
    <row r="37">
      <c r="A37" s="10" t="inlineStr">
        <is>
          <t>Nozes</t>
        </is>
      </c>
      <c r="B37" s="10" t="inlineStr">
        <is>
          <t>g</t>
        </is>
      </c>
      <c r="C37" s="10" t="n">
        <v>100</v>
      </c>
      <c r="D37" s="5" t="n"/>
      <c r="E37" s="11">
        <f>IF(AND(C37&gt;0,D37&gt;0),D37/C37,"")</f>
        <v/>
      </c>
    </row>
    <row r="38">
      <c r="A38" s="10" t="inlineStr">
        <is>
          <t>Amendoim torrado</t>
        </is>
      </c>
      <c r="B38" s="10" t="inlineStr">
        <is>
          <t>g</t>
        </is>
      </c>
      <c r="C38" s="10" t="n">
        <v>500</v>
      </c>
      <c r="D38" s="5" t="n"/>
      <c r="E38" s="11">
        <f>IF(AND(C38&gt;0,D38&gt;0),D38/C38,"")</f>
        <v/>
      </c>
    </row>
    <row r="39">
      <c r="A39" s="10" t="inlineStr">
        <is>
          <t>Biscoito maisena</t>
        </is>
      </c>
      <c r="B39" s="10" t="inlineStr">
        <is>
          <t>g</t>
        </is>
      </c>
      <c r="C39" s="10" t="n">
        <v>200</v>
      </c>
      <c r="D39" s="5" t="n"/>
      <c r="E39" s="11">
        <f>IF(AND(C39&gt;0,D39&gt;0),D39/C39,"")</f>
        <v/>
      </c>
    </row>
    <row r="40">
      <c r="A40" s="10" t="inlineStr">
        <is>
          <t>Chantilly (pó ou pronto)</t>
        </is>
      </c>
      <c r="B40" s="10" t="inlineStr">
        <is>
          <t>g</t>
        </is>
      </c>
      <c r="C40" s="10" t="n">
        <v>500</v>
      </c>
      <c r="D40" s="5" t="n"/>
      <c r="E40" s="11">
        <f>IF(AND(C40&gt;0,D40&gt;0),D40/C40,"")</f>
        <v/>
      </c>
    </row>
    <row r="41">
      <c r="A41" s="10" t="inlineStr">
        <is>
          <t>Glacê pronto</t>
        </is>
      </c>
      <c r="B41" s="10" t="inlineStr">
        <is>
          <t>g</t>
        </is>
      </c>
      <c r="C41" s="10" t="n">
        <v>500</v>
      </c>
      <c r="D41" s="5" t="n"/>
      <c r="E41" s="11">
        <f>IF(AND(C41&gt;0,D41&gt;0),D41/C41,"")</f>
        <v/>
      </c>
    </row>
    <row r="42">
      <c r="A42" s="10" t="inlineStr">
        <is>
          <t>Pasta americana</t>
        </is>
      </c>
      <c r="B42" s="10" t="inlineStr">
        <is>
          <t>g</t>
        </is>
      </c>
      <c r="C42" s="10" t="n">
        <v>800</v>
      </c>
      <c r="D42" s="5" t="n"/>
      <c r="E42" s="11">
        <f>IF(AND(C42&gt;0,D42&gt;0),D42/C42,"")</f>
        <v/>
      </c>
    </row>
    <row r="43">
      <c r="A43" s="10" t="inlineStr">
        <is>
          <t>Forminha nº 4</t>
        </is>
      </c>
      <c r="B43" s="10" t="inlineStr">
        <is>
          <t>un</t>
        </is>
      </c>
      <c r="C43" s="10" t="n">
        <v>100</v>
      </c>
      <c r="D43" s="5" t="n"/>
      <c r="E43" s="11">
        <f>IF(AND(C43&gt;0,D43&gt;0),D43/C43,"")</f>
        <v/>
      </c>
    </row>
    <row r="44">
      <c r="A44" s="10" t="inlineStr">
        <is>
          <t>Forminha nº 5</t>
        </is>
      </c>
      <c r="B44" s="10" t="inlineStr">
        <is>
          <t>un</t>
        </is>
      </c>
      <c r="C44" s="10" t="n">
        <v>100</v>
      </c>
      <c r="D44" s="5" t="n"/>
      <c r="E44" s="11">
        <f>IF(AND(C44&gt;0,D44&gt;0),D44/C44,"")</f>
        <v/>
      </c>
    </row>
    <row r="45">
      <c r="A45" s="10" t="inlineStr">
        <is>
          <t>Caixa para 4 docinhos</t>
        </is>
      </c>
      <c r="B45" s="10" t="inlineStr">
        <is>
          <t>un</t>
        </is>
      </c>
      <c r="C45" s="10" t="n">
        <v>1</v>
      </c>
      <c r="D45" s="5" t="n"/>
      <c r="E45" s="11">
        <f>IF(AND(C45&gt;0,D45&gt;0),D45/C45,"")</f>
        <v/>
      </c>
    </row>
    <row r="46">
      <c r="A46" s="10" t="inlineStr">
        <is>
          <t>Caixa para 9 docinhos</t>
        </is>
      </c>
      <c r="B46" s="10" t="inlineStr">
        <is>
          <t>un</t>
        </is>
      </c>
      <c r="C46" s="10" t="n">
        <v>1</v>
      </c>
      <c r="D46" s="5" t="n"/>
      <c r="E46" s="11">
        <f>IF(AND(C46&gt;0,D46&gt;0),D46/C46,"")</f>
        <v/>
      </c>
    </row>
    <row r="47">
      <c r="A47" s="10" t="inlineStr">
        <is>
          <t>Pote 250 ml com tampa</t>
        </is>
      </c>
      <c r="B47" s="10" t="inlineStr">
        <is>
          <t>un</t>
        </is>
      </c>
      <c r="C47" s="10" t="n">
        <v>1</v>
      </c>
      <c r="D47" s="5" t="n"/>
      <c r="E47" s="11">
        <f>IF(AND(C47&gt;0,D47&gt;0),D47/C47,"")</f>
        <v/>
      </c>
    </row>
    <row r="48">
      <c r="A48" s="10" t="inlineStr">
        <is>
          <t>Pote 120 ml com tampa</t>
        </is>
      </c>
      <c r="B48" s="10" t="inlineStr">
        <is>
          <t>un</t>
        </is>
      </c>
      <c r="C48" s="10" t="n">
        <v>1</v>
      </c>
      <c r="D48" s="5" t="n"/>
      <c r="E48" s="11">
        <f>IF(AND(C48&gt;0,D48&gt;0),D48/C48,"")</f>
        <v/>
      </c>
    </row>
    <row r="49">
      <c r="A49" s="10" t="inlineStr">
        <is>
          <t>Saquinho celofane</t>
        </is>
      </c>
      <c r="B49" s="10" t="inlineStr">
        <is>
          <t>un</t>
        </is>
      </c>
      <c r="C49" s="10" t="n">
        <v>100</v>
      </c>
      <c r="D49" s="5" t="n"/>
      <c r="E49" s="11">
        <f>IF(AND(C49&gt;0,D49&gt;0),D49/C49,"")</f>
        <v/>
      </c>
    </row>
    <row r="50">
      <c r="A50" s="10" t="inlineStr">
        <is>
          <t>Fita de cetim (rolo)</t>
        </is>
      </c>
      <c r="B50" s="10" t="inlineStr">
        <is>
          <t>m</t>
        </is>
      </c>
      <c r="C50" s="10" t="n">
        <v>10</v>
      </c>
      <c r="D50" s="5" t="n"/>
      <c r="E50" s="11">
        <f>IF(AND(C50&gt;0,D50&gt;0),D50/C50,"")</f>
        <v/>
      </c>
    </row>
    <row r="51">
      <c r="A51" s="10" t="inlineStr">
        <is>
          <t>Etiqueta adesiva</t>
        </is>
      </c>
      <c r="B51" s="10" t="inlineStr">
        <is>
          <t>un</t>
        </is>
      </c>
      <c r="C51" s="10" t="n">
        <v>100</v>
      </c>
      <c r="D51" s="5" t="n"/>
      <c r="E51" s="11">
        <f>IF(AND(C51&gt;0,D51&gt;0),D51/C51,"")</f>
        <v/>
      </c>
    </row>
    <row r="52">
      <c r="A52" s="10" t="inlineStr">
        <is>
          <t>Embalagem para fatia de bolo</t>
        </is>
      </c>
      <c r="B52" s="10" t="inlineStr">
        <is>
          <t>un</t>
        </is>
      </c>
      <c r="C52" s="10" t="n">
        <v>1</v>
      </c>
      <c r="D52" s="5" t="n"/>
      <c r="E52" s="11">
        <f>IF(AND(C52&gt;0,D52&gt;0),D52/C52,"")</f>
        <v/>
      </c>
    </row>
    <row r="53">
      <c r="A53" s="10" t="inlineStr">
        <is>
          <t>Caixa de bolo 20 cm</t>
        </is>
      </c>
      <c r="B53" s="10" t="inlineStr">
        <is>
          <t>un</t>
        </is>
      </c>
      <c r="C53" s="10" t="n">
        <v>1</v>
      </c>
      <c r="D53" s="5" t="n"/>
      <c r="E53" s="11">
        <f>IF(AND(C53&gt;0,D53&gt;0),D53/C53,"")</f>
        <v/>
      </c>
    </row>
    <row r="54">
      <c r="A54" s="10" t="inlineStr">
        <is>
          <t>Base de papelão para bolo</t>
        </is>
      </c>
      <c r="B54" s="10" t="inlineStr">
        <is>
          <t>un</t>
        </is>
      </c>
      <c r="C54" s="10" t="n">
        <v>1</v>
      </c>
      <c r="D54" s="5" t="n"/>
      <c r="E54" s="11">
        <f>IF(AND(C54&gt;0,D54&gt;0),D54/C54,"")</f>
        <v/>
      </c>
    </row>
    <row r="55">
      <c r="A55" s="10" t="inlineStr">
        <is>
          <t>Colher descartável</t>
        </is>
      </c>
      <c r="B55" s="10" t="inlineStr">
        <is>
          <t>un</t>
        </is>
      </c>
      <c r="C55" s="10" t="n">
        <v>50</v>
      </c>
      <c r="D55" s="5" t="n"/>
      <c r="E55" s="11">
        <f>IF(AND(C55&gt;0,D55&gt;0),D55/C55,"")</f>
        <v/>
      </c>
    </row>
    <row r="56">
      <c r="A56" s="10" t="inlineStr">
        <is>
          <t>Sacola</t>
        </is>
      </c>
      <c r="B56" s="10" t="inlineStr">
        <is>
          <t>un</t>
        </is>
      </c>
      <c r="C56" s="10" t="n">
        <v>1</v>
      </c>
      <c r="D56" s="5" t="n"/>
      <c r="E56" s="11">
        <f>IF(AND(C56&gt;0,D56&gt;0),D56/C56,"")</f>
        <v/>
      </c>
    </row>
    <row r="57">
      <c r="A57" s="10" t="n"/>
      <c r="B57" s="10" t="n"/>
      <c r="C57" s="10" t="n"/>
      <c r="D57" s="5" t="n"/>
      <c r="E57" s="11">
        <f>IF(AND(C57&gt;0,D57&gt;0),D57/C57,"")</f>
        <v/>
      </c>
    </row>
    <row r="58">
      <c r="A58" s="10" t="n"/>
      <c r="B58" s="10" t="n"/>
      <c r="C58" s="10" t="n"/>
      <c r="D58" s="5" t="n"/>
      <c r="E58" s="11">
        <f>IF(AND(C58&gt;0,D58&gt;0),D58/C58,"")</f>
        <v/>
      </c>
    </row>
    <row r="59">
      <c r="A59" s="10" t="n"/>
      <c r="B59" s="10" t="n"/>
      <c r="C59" s="10" t="n"/>
      <c r="D59" s="5" t="n"/>
      <c r="E59" s="11">
        <f>IF(AND(C59&gt;0,D59&gt;0),D59/C59,"")</f>
        <v/>
      </c>
    </row>
    <row r="60">
      <c r="A60" s="10" t="n"/>
      <c r="B60" s="10" t="n"/>
      <c r="C60" s="10" t="n"/>
      <c r="D60" s="5" t="n"/>
      <c r="E60" s="11">
        <f>IF(AND(C60&gt;0,D60&gt;0),D60/C60,"")</f>
        <v/>
      </c>
    </row>
    <row r="61">
      <c r="A61" s="10" t="n"/>
      <c r="B61" s="10" t="n"/>
      <c r="C61" s="10" t="n"/>
      <c r="D61" s="5" t="n"/>
      <c r="E61" s="11">
        <f>IF(AND(C61&gt;0,D61&gt;0),D61/C61,"")</f>
        <v/>
      </c>
    </row>
    <row r="62">
      <c r="A62" s="10" t="n"/>
      <c r="B62" s="10" t="n"/>
      <c r="C62" s="10" t="n"/>
      <c r="D62" s="5" t="n"/>
      <c r="E62" s="11">
        <f>IF(AND(C62&gt;0,D62&gt;0),D62/C62,"")</f>
        <v/>
      </c>
    </row>
    <row r="63">
      <c r="A63" s="10" t="n"/>
      <c r="B63" s="10" t="n"/>
      <c r="C63" s="10" t="n"/>
      <c r="D63" s="5" t="n"/>
      <c r="E63" s="11">
        <f>IF(AND(C63&gt;0,D63&gt;0),D63/C63,"")</f>
        <v/>
      </c>
    </row>
    <row r="64">
      <c r="A64" s="10" t="n"/>
      <c r="B64" s="10" t="n"/>
      <c r="C64" s="10" t="n"/>
      <c r="D64" s="5" t="n"/>
      <c r="E64" s="11">
        <f>IF(AND(C64&gt;0,D64&gt;0),D64/C64,"")</f>
        <v/>
      </c>
    </row>
    <row r="65">
      <c r="A65" s="10" t="n"/>
      <c r="B65" s="10" t="n"/>
      <c r="C65" s="10" t="n"/>
      <c r="D65" s="5" t="n"/>
      <c r="E65" s="11">
        <f>IF(AND(C65&gt;0,D65&gt;0),D65/C65,"")</f>
        <v/>
      </c>
    </row>
    <row r="66">
      <c r="A66" s="10" t="n"/>
      <c r="B66" s="10" t="n"/>
      <c r="C66" s="10" t="n"/>
      <c r="D66" s="5" t="n"/>
      <c r="E66" s="11">
        <f>IF(AND(C66&gt;0,D66&gt;0),D66/C66,"")</f>
        <v/>
      </c>
    </row>
    <row r="67">
      <c r="A67" s="10" t="n"/>
      <c r="B67" s="10" t="n"/>
      <c r="C67" s="10" t="n"/>
      <c r="D67" s="5" t="n"/>
      <c r="E67" s="11">
        <f>IF(AND(C67&gt;0,D67&gt;0),D67/C67,"")</f>
        <v/>
      </c>
    </row>
    <row r="68">
      <c r="A68" s="10" t="n"/>
      <c r="B68" s="10" t="n"/>
      <c r="C68" s="10" t="n"/>
      <c r="D68" s="5" t="n"/>
      <c r="E68" s="11">
        <f>IF(AND(C68&gt;0,D68&gt;0),D68/C68,"")</f>
        <v/>
      </c>
    </row>
    <row r="69">
      <c r="A69" s="10" t="n"/>
      <c r="B69" s="10" t="n"/>
      <c r="C69" s="10" t="n"/>
      <c r="D69" s="5" t="n"/>
      <c r="E69" s="11">
        <f>IF(AND(C69&gt;0,D69&gt;0),D69/C69,"")</f>
        <v/>
      </c>
    </row>
    <row r="70">
      <c r="A70" s="10" t="n"/>
      <c r="B70" s="10" t="n"/>
      <c r="C70" s="10" t="n"/>
      <c r="D70" s="5" t="n"/>
      <c r="E70" s="11">
        <f>IF(AND(C70&gt;0,D70&gt;0),D70/C70,"")</f>
        <v/>
      </c>
    </row>
    <row r="71">
      <c r="A71" s="10" t="n"/>
      <c r="B71" s="10" t="n"/>
      <c r="C71" s="10" t="n"/>
      <c r="D71" s="5" t="n"/>
      <c r="E71" s="11">
        <f>IF(AND(C71&gt;0,D71&gt;0),D71/C71,"")</f>
        <v/>
      </c>
    </row>
    <row r="72">
      <c r="A72" s="10" t="n"/>
      <c r="B72" s="10" t="n"/>
      <c r="C72" s="10" t="n"/>
      <c r="D72" s="5" t="n"/>
      <c r="E72" s="11">
        <f>IF(AND(C72&gt;0,D72&gt;0),D72/C72,"")</f>
        <v/>
      </c>
    </row>
    <row r="73">
      <c r="A73" s="10" t="n"/>
      <c r="B73" s="10" t="n"/>
      <c r="C73" s="10" t="n"/>
      <c r="D73" s="5" t="n"/>
      <c r="E73" s="11">
        <f>IF(AND(C73&gt;0,D73&gt;0),D73/C73,"")</f>
        <v/>
      </c>
    </row>
    <row r="74">
      <c r="A74" s="10" t="n"/>
      <c r="B74" s="10" t="n"/>
      <c r="C74" s="10" t="n"/>
      <c r="D74" s="5" t="n"/>
      <c r="E74" s="11">
        <f>IF(AND(C74&gt;0,D74&gt;0),D74/C74,"")</f>
        <v/>
      </c>
    </row>
    <row r="75">
      <c r="A75" s="10" t="n"/>
      <c r="B75" s="10" t="n"/>
      <c r="C75" s="10" t="n"/>
      <c r="D75" s="5" t="n"/>
      <c r="E75" s="11">
        <f>IF(AND(C75&gt;0,D75&gt;0),D75/C75,"")</f>
        <v/>
      </c>
    </row>
    <row r="76">
      <c r="A76" s="10" t="n"/>
      <c r="B76" s="10" t="n"/>
      <c r="C76" s="10" t="n"/>
      <c r="D76" s="5" t="n"/>
      <c r="E76" s="11">
        <f>IF(AND(C76&gt;0,D76&gt;0),D76/C76,"")</f>
        <v/>
      </c>
    </row>
    <row r="77">
      <c r="A77" s="10" t="n"/>
      <c r="B77" s="10" t="n"/>
      <c r="C77" s="10" t="n"/>
      <c r="D77" s="5" t="n"/>
      <c r="E77" s="11">
        <f>IF(AND(C77&gt;0,D77&gt;0),D77/C77,"")</f>
        <v/>
      </c>
    </row>
    <row r="78">
      <c r="A78" s="10" t="n"/>
      <c r="B78" s="10" t="n"/>
      <c r="C78" s="10" t="n"/>
      <c r="D78" s="5" t="n"/>
      <c r="E78" s="11">
        <f>IF(AND(C78&gt;0,D78&gt;0),D78/C78,"")</f>
        <v/>
      </c>
    </row>
    <row r="79">
      <c r="A79" s="10" t="n"/>
      <c r="B79" s="10" t="n"/>
      <c r="C79" s="10" t="n"/>
      <c r="D79" s="5" t="n"/>
      <c r="E79" s="11">
        <f>IF(AND(C79&gt;0,D79&gt;0),D79/C79,"")</f>
        <v/>
      </c>
    </row>
    <row r="80">
      <c r="A80" s="10" t="n"/>
      <c r="B80" s="10" t="n"/>
      <c r="C80" s="10" t="n"/>
      <c r="D80" s="5" t="n"/>
      <c r="E80" s="11">
        <f>IF(AND(C80&gt;0,D80&gt;0),D80/C80,"")</f>
        <v/>
      </c>
    </row>
    <row r="81">
      <c r="A81" s="10" t="n"/>
      <c r="B81" s="10" t="n"/>
      <c r="C81" s="10" t="n"/>
      <c r="D81" s="5" t="n"/>
      <c r="E81" s="11">
        <f>IF(AND(C81&gt;0,D81&gt;0),D81/C81,"")</f>
        <v/>
      </c>
    </row>
    <row r="82">
      <c r="A82" s="10" t="n"/>
      <c r="B82" s="10" t="n"/>
      <c r="C82" s="10" t="n"/>
      <c r="D82" s="5" t="n"/>
      <c r="E82" s="11">
        <f>IF(AND(C82&gt;0,D82&gt;0),D82/C82,"")</f>
        <v/>
      </c>
    </row>
    <row r="83">
      <c r="A83" s="10" t="n"/>
      <c r="B83" s="10" t="n"/>
      <c r="C83" s="10" t="n"/>
      <c r="D83" s="5" t="n"/>
      <c r="E83" s="11">
        <f>IF(AND(C83&gt;0,D83&gt;0),D83/C83,"")</f>
        <v/>
      </c>
    </row>
    <row r="84">
      <c r="A84" s="10" t="n"/>
      <c r="B84" s="10" t="n"/>
      <c r="C84" s="10" t="n"/>
      <c r="D84" s="5" t="n"/>
      <c r="E84" s="11">
        <f>IF(AND(C84&gt;0,D84&gt;0),D84/C84,"")</f>
        <v/>
      </c>
    </row>
    <row r="85">
      <c r="A85" s="10" t="n"/>
      <c r="B85" s="10" t="n"/>
      <c r="C85" s="10" t="n"/>
      <c r="D85" s="5" t="n"/>
      <c r="E85" s="11">
        <f>IF(AND(C85&gt;0,D85&gt;0),D85/C85,"")</f>
        <v/>
      </c>
    </row>
    <row r="86">
      <c r="A86" s="10" t="n"/>
      <c r="B86" s="10" t="n"/>
      <c r="C86" s="10" t="n"/>
      <c r="D86" s="5" t="n"/>
      <c r="E86" s="11">
        <f>IF(AND(C86&gt;0,D86&gt;0),D86/C86,"")</f>
        <v/>
      </c>
    </row>
    <row r="87">
      <c r="A87" s="10" t="n"/>
      <c r="B87" s="10" t="n"/>
      <c r="C87" s="10" t="n"/>
      <c r="D87" s="5" t="n"/>
      <c r="E87" s="11">
        <f>IF(AND(C87&gt;0,D87&gt;0),D87/C87,"")</f>
        <v/>
      </c>
    </row>
    <row r="88">
      <c r="A88" s="10" t="n"/>
      <c r="B88" s="10" t="n"/>
      <c r="C88" s="10" t="n"/>
      <c r="D88" s="5" t="n"/>
      <c r="E88" s="11">
        <f>IF(AND(C88&gt;0,D88&gt;0),D88/C88,"")</f>
        <v/>
      </c>
    </row>
    <row r="89">
      <c r="A89" s="10" t="n"/>
      <c r="B89" s="10" t="n"/>
      <c r="C89" s="10" t="n"/>
      <c r="D89" s="5" t="n"/>
      <c r="E89" s="11">
        <f>IF(AND(C89&gt;0,D89&gt;0),D89/C89,"")</f>
        <v/>
      </c>
    </row>
    <row r="90">
      <c r="A90" s="10" t="n"/>
      <c r="B90" s="10" t="n"/>
      <c r="C90" s="10" t="n"/>
      <c r="D90" s="5" t="n"/>
      <c r="E90" s="11">
        <f>IF(AND(C90&gt;0,D90&gt;0),D90/C90,"")</f>
        <v/>
      </c>
    </row>
    <row r="91">
      <c r="A91" s="10" t="n"/>
      <c r="B91" s="10" t="n"/>
      <c r="C91" s="10" t="n"/>
      <c r="D91" s="5" t="n"/>
      <c r="E91" s="11">
        <f>IF(AND(C91&gt;0,D91&gt;0),D91/C91,"")</f>
        <v/>
      </c>
    </row>
    <row r="92">
      <c r="A92" s="10" t="n"/>
      <c r="B92" s="10" t="n"/>
      <c r="C92" s="10" t="n"/>
      <c r="D92" s="5" t="n"/>
      <c r="E92" s="11">
        <f>IF(AND(C92&gt;0,D92&gt;0),D92/C92,"")</f>
        <v/>
      </c>
    </row>
    <row r="93">
      <c r="A93" s="10" t="n"/>
      <c r="B93" s="10" t="n"/>
      <c r="C93" s="10" t="n"/>
      <c r="D93" s="5" t="n"/>
      <c r="E93" s="11">
        <f>IF(AND(C93&gt;0,D93&gt;0),D93/C93,"")</f>
        <v/>
      </c>
    </row>
    <row r="94">
      <c r="A94" s="10" t="n"/>
      <c r="B94" s="10" t="n"/>
      <c r="C94" s="10" t="n"/>
      <c r="D94" s="5" t="n"/>
      <c r="E94" s="11">
        <f>IF(AND(C94&gt;0,D94&gt;0),D94/C94,"")</f>
        <v/>
      </c>
    </row>
    <row r="95">
      <c r="A95" s="10" t="n"/>
      <c r="B95" s="10" t="n"/>
      <c r="C95" s="10" t="n"/>
      <c r="D95" s="5" t="n"/>
      <c r="E95" s="11">
        <f>IF(AND(C95&gt;0,D95&gt;0),D95/C95,"")</f>
        <v/>
      </c>
    </row>
    <row r="96">
      <c r="A96" s="10" t="n"/>
      <c r="B96" s="10" t="n"/>
      <c r="C96" s="10" t="n"/>
      <c r="D96" s="5" t="n"/>
      <c r="E96" s="11">
        <f>IF(AND(C96&gt;0,D96&gt;0),D96/C96,"")</f>
        <v/>
      </c>
    </row>
    <row r="97">
      <c r="A97" s="10" t="n"/>
      <c r="B97" s="10" t="n"/>
      <c r="C97" s="10" t="n"/>
      <c r="D97" s="5" t="n"/>
      <c r="E97" s="11">
        <f>IF(AND(C97&gt;0,D97&gt;0),D97/C97,"")</f>
        <v/>
      </c>
    </row>
    <row r="98">
      <c r="A98" s="10" t="n"/>
      <c r="B98" s="10" t="n"/>
      <c r="C98" s="10" t="n"/>
      <c r="D98" s="5" t="n"/>
      <c r="E98" s="11">
        <f>IF(AND(C98&gt;0,D98&gt;0),D98/C98,"")</f>
        <v/>
      </c>
    </row>
    <row r="99">
      <c r="A99" s="10" t="n"/>
      <c r="B99" s="10" t="n"/>
      <c r="C99" s="10" t="n"/>
      <c r="D99" s="5" t="n"/>
      <c r="E99" s="11">
        <f>IF(AND(C99&gt;0,D99&gt;0),D99/C99,"")</f>
        <v/>
      </c>
    </row>
    <row r="100">
      <c r="A100" s="10" t="n"/>
      <c r="B100" s="10" t="n"/>
      <c r="C100" s="10" t="n"/>
      <c r="D100" s="5" t="n"/>
      <c r="E100" s="11">
        <f>IF(AND(C100&gt;0,D100&gt;0),D100/C100,"")</f>
        <v/>
      </c>
    </row>
    <row r="101">
      <c r="A101" s="10" t="n"/>
      <c r="B101" s="10" t="n"/>
      <c r="C101" s="10" t="n"/>
      <c r="D101" s="5" t="n"/>
      <c r="E101" s="11">
        <f>IF(AND(C101&gt;0,D101&gt;0),D101/C101,"")</f>
        <v/>
      </c>
    </row>
    <row r="102">
      <c r="A102" s="10" t="n"/>
      <c r="B102" s="10" t="n"/>
      <c r="C102" s="10" t="n"/>
      <c r="D102" s="5" t="n"/>
      <c r="E102" s="11">
        <f>IF(AND(C102&gt;0,D102&gt;0),D102/C102,"")</f>
        <v/>
      </c>
    </row>
    <row r="103">
      <c r="A103" s="10" t="n"/>
      <c r="B103" s="10" t="n"/>
      <c r="C103" s="10" t="n"/>
      <c r="D103" s="5" t="n"/>
      <c r="E103" s="11">
        <f>IF(AND(C103&gt;0,D103&gt;0),D103/C103,"")</f>
        <v/>
      </c>
    </row>
    <row r="104">
      <c r="A104" s="10" t="n"/>
      <c r="B104" s="10" t="n"/>
      <c r="C104" s="10" t="n"/>
      <c r="D104" s="5" t="n"/>
      <c r="E104" s="11">
        <f>IF(AND(C104&gt;0,D104&gt;0),D104/C104,"")</f>
        <v/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9" customWidth="1" min="4" max="4"/>
    <col width="44" customWidth="1" min="5" max="5"/>
  </cols>
  <sheetData>
    <row r="1">
      <c r="A1" s="1" t="inlineStr">
        <is>
          <t>Ficha 1 · ficha de preço</t>
        </is>
      </c>
    </row>
    <row r="2">
      <c r="A2" s="4" t="inlineStr">
        <is>
          <t>Produto</t>
        </is>
      </c>
      <c r="B2" s="12" t="n"/>
      <c r="C2" s="13" t="n"/>
      <c r="D2" s="14" t="n"/>
    </row>
    <row r="3">
      <c r="A3" s="4" t="inlineStr">
        <is>
          <t>Rendimento da receita (unidades)</t>
        </is>
      </c>
      <c r="B3" s="7" t="n"/>
    </row>
    <row r="4">
      <c r="A4" s="4" t="inlineStr">
        <is>
          <t>Tempo para fazer a receita inteira (min)</t>
        </is>
      </c>
      <c r="B4" s="7" t="n"/>
    </row>
    <row r="5">
      <c r="A5" s="4" t="inlineStr">
        <is>
          <t>Embalagem por unidade vendida</t>
        </is>
      </c>
      <c r="B5" s="5" t="n"/>
      <c r="E5" s="6" t="inlineStr">
        <is>
          <t>forminha, caixa, pote, etiqueta: some o que vai em cada unidade</t>
        </is>
      </c>
    </row>
    <row r="7">
      <c r="A7" s="2" t="inlineStr">
        <is>
          <t>Ingrediente</t>
        </is>
      </c>
      <c r="B7" s="2" t="inlineStr">
        <is>
          <t>Qtd usada</t>
        </is>
      </c>
      <c r="C7" s="2" t="inlineStr">
        <is>
          <t>Unidade</t>
        </is>
      </c>
      <c r="D7" s="2" t="inlineStr">
        <is>
          <t>Custo</t>
        </is>
      </c>
    </row>
    <row r="8">
      <c r="A8" s="10" t="n"/>
      <c r="B8" s="15" t="n"/>
      <c r="C8" s="16">
        <f>IF(A8="","",IFERROR(INDEX(Insumos!$B$5:$B$104,MATCH(A8,Insumos!$A$5:$A$104,0)),""))</f>
        <v/>
      </c>
      <c r="D8" s="17">
        <f>IF(OR(A8="",B8=""),"",IFERROR(B8*INDEX(Insumos!$E$5:$E$104,MATCH(A8,Insumos!$A$5:$A$104,0)),"preencha o preço"))</f>
        <v/>
      </c>
    </row>
    <row r="9">
      <c r="A9" s="10" t="n"/>
      <c r="B9" s="15" t="n"/>
      <c r="C9" s="16">
        <f>IF(A9="","",IFERROR(INDEX(Insumos!$B$5:$B$104,MATCH(A9,Insumos!$A$5:$A$104,0)),""))</f>
        <v/>
      </c>
      <c r="D9" s="17">
        <f>IF(OR(A9="",B9=""),"",IFERROR(B9*INDEX(Insumos!$E$5:$E$104,MATCH(A9,Insumos!$A$5:$A$104,0)),"preencha o preço"))</f>
        <v/>
      </c>
    </row>
    <row r="10">
      <c r="A10" s="10" t="n"/>
      <c r="B10" s="15" t="n"/>
      <c r="C10" s="16">
        <f>IF(A10="","",IFERROR(INDEX(Insumos!$B$5:$B$104,MATCH(A10,Insumos!$A$5:$A$104,0)),""))</f>
        <v/>
      </c>
      <c r="D10" s="17">
        <f>IF(OR(A10="",B10=""),"",IFERROR(B10*INDEX(Insumos!$E$5:$E$104,MATCH(A10,Insumos!$A$5:$A$104,0)),"preencha o preço"))</f>
        <v/>
      </c>
    </row>
    <row r="11">
      <c r="A11" s="10" t="n"/>
      <c r="B11" s="15" t="n"/>
      <c r="C11" s="16">
        <f>IF(A11="","",IFERROR(INDEX(Insumos!$B$5:$B$104,MATCH(A11,Insumos!$A$5:$A$104,0)),""))</f>
        <v/>
      </c>
      <c r="D11" s="17">
        <f>IF(OR(A11="",B11=""),"",IFERROR(B11*INDEX(Insumos!$E$5:$E$104,MATCH(A11,Insumos!$A$5:$A$104,0)),"preencha o preço"))</f>
        <v/>
      </c>
    </row>
    <row r="12">
      <c r="A12" s="10" t="n"/>
      <c r="B12" s="15" t="n"/>
      <c r="C12" s="16">
        <f>IF(A12="","",IFERROR(INDEX(Insumos!$B$5:$B$104,MATCH(A12,Insumos!$A$5:$A$104,0)),""))</f>
        <v/>
      </c>
      <c r="D12" s="17">
        <f>IF(OR(A12="",B12=""),"",IFERROR(B12*INDEX(Insumos!$E$5:$E$104,MATCH(A12,Insumos!$A$5:$A$104,0)),"preencha o preço"))</f>
        <v/>
      </c>
    </row>
    <row r="13">
      <c r="A13" s="10" t="n"/>
      <c r="B13" s="15" t="n"/>
      <c r="C13" s="16">
        <f>IF(A13="","",IFERROR(INDEX(Insumos!$B$5:$B$104,MATCH(A13,Insumos!$A$5:$A$104,0)),""))</f>
        <v/>
      </c>
      <c r="D13" s="17">
        <f>IF(OR(A13="",B13=""),"",IFERROR(B13*INDEX(Insumos!$E$5:$E$104,MATCH(A13,Insumos!$A$5:$A$104,0)),"preencha o preço"))</f>
        <v/>
      </c>
    </row>
    <row r="14">
      <c r="A14" s="10" t="n"/>
      <c r="B14" s="15" t="n"/>
      <c r="C14" s="16">
        <f>IF(A14="","",IFERROR(INDEX(Insumos!$B$5:$B$104,MATCH(A14,Insumos!$A$5:$A$104,0)),""))</f>
        <v/>
      </c>
      <c r="D14" s="17">
        <f>IF(OR(A14="",B14=""),"",IFERROR(B14*INDEX(Insumos!$E$5:$E$104,MATCH(A14,Insumos!$A$5:$A$104,0)),"preencha o preço"))</f>
        <v/>
      </c>
    </row>
    <row r="15">
      <c r="A15" s="10" t="n"/>
      <c r="B15" s="15" t="n"/>
      <c r="C15" s="16">
        <f>IF(A15="","",IFERROR(INDEX(Insumos!$B$5:$B$104,MATCH(A15,Insumos!$A$5:$A$104,0)),""))</f>
        <v/>
      </c>
      <c r="D15" s="17">
        <f>IF(OR(A15="",B15=""),"",IFERROR(B15*INDEX(Insumos!$E$5:$E$104,MATCH(A15,Insumos!$A$5:$A$104,0)),"preencha o preço"))</f>
        <v/>
      </c>
    </row>
    <row r="16">
      <c r="A16" s="10" t="n"/>
      <c r="B16" s="15" t="n"/>
      <c r="C16" s="16">
        <f>IF(A16="","",IFERROR(INDEX(Insumos!$B$5:$B$104,MATCH(A16,Insumos!$A$5:$A$104,0)),""))</f>
        <v/>
      </c>
      <c r="D16" s="17">
        <f>IF(OR(A16="",B16=""),"",IFERROR(B16*INDEX(Insumos!$E$5:$E$104,MATCH(A16,Insumos!$A$5:$A$104,0)),"preencha o preço"))</f>
        <v/>
      </c>
    </row>
    <row r="17">
      <c r="A17" s="10" t="n"/>
      <c r="B17" s="15" t="n"/>
      <c r="C17" s="16">
        <f>IF(A17="","",IFERROR(INDEX(Insumos!$B$5:$B$104,MATCH(A17,Insumos!$A$5:$A$104,0)),""))</f>
        <v/>
      </c>
      <c r="D17" s="17">
        <f>IF(OR(A17="",B17=""),"",IFERROR(B17*INDEX(Insumos!$E$5:$E$104,MATCH(A17,Insumos!$A$5:$A$104,0)),"preencha o preço"))</f>
        <v/>
      </c>
    </row>
    <row r="18">
      <c r="A18" s="10" t="n"/>
      <c r="B18" s="15" t="n"/>
      <c r="C18" s="16">
        <f>IF(A18="","",IFERROR(INDEX(Insumos!$B$5:$B$104,MATCH(A18,Insumos!$A$5:$A$104,0)),""))</f>
        <v/>
      </c>
      <c r="D18" s="17">
        <f>IF(OR(A18="",B18=""),"",IFERROR(B18*INDEX(Insumos!$E$5:$E$104,MATCH(A18,Insumos!$A$5:$A$104,0)),"preencha o preço"))</f>
        <v/>
      </c>
    </row>
    <row r="19">
      <c r="A19" s="10" t="n"/>
      <c r="B19" s="15" t="n"/>
      <c r="C19" s="16">
        <f>IF(A19="","",IFERROR(INDEX(Insumos!$B$5:$B$104,MATCH(A19,Insumos!$A$5:$A$104,0)),""))</f>
        <v/>
      </c>
      <c r="D19" s="17">
        <f>IF(OR(A19="",B19=""),"",IFERROR(B19*INDEX(Insumos!$E$5:$E$104,MATCH(A19,Insumos!$A$5:$A$104,0)),"preencha o preço"))</f>
        <v/>
      </c>
    </row>
    <row r="20">
      <c r="A20" s="10" t="n"/>
      <c r="B20" s="15" t="n"/>
      <c r="C20" s="16">
        <f>IF(A20="","",IFERROR(INDEX(Insumos!$B$5:$B$104,MATCH(A20,Insumos!$A$5:$A$104,0)),""))</f>
        <v/>
      </c>
      <c r="D20" s="17">
        <f>IF(OR(A20="",B20=""),"",IFERROR(B20*INDEX(Insumos!$E$5:$E$104,MATCH(A20,Insumos!$A$5:$A$104,0)),"preencha o preço"))</f>
        <v/>
      </c>
    </row>
    <row r="21">
      <c r="A21" s="10" t="n"/>
      <c r="B21" s="15" t="n"/>
      <c r="C21" s="16">
        <f>IF(A21="","",IFERROR(INDEX(Insumos!$B$5:$B$104,MATCH(A21,Insumos!$A$5:$A$104,0)),""))</f>
        <v/>
      </c>
      <c r="D21" s="17">
        <f>IF(OR(A21="",B21=""),"",IFERROR(B21*INDEX(Insumos!$E$5:$E$104,MATCH(A21,Insumos!$A$5:$A$104,0)),"preencha o preço"))</f>
        <v/>
      </c>
    </row>
    <row r="22">
      <c r="A22" s="10" t="n"/>
      <c r="B22" s="15" t="n"/>
      <c r="C22" s="16">
        <f>IF(A22="","",IFERROR(INDEX(Insumos!$B$5:$B$104,MATCH(A22,Insumos!$A$5:$A$104,0)),""))</f>
        <v/>
      </c>
      <c r="D22" s="17">
        <f>IF(OR(A22="",B22=""),"",IFERROR(B22*INDEX(Insumos!$E$5:$E$104,MATCH(A22,Insumos!$A$5:$A$104,0)),"preencha o preço"))</f>
        <v/>
      </c>
    </row>
    <row r="23">
      <c r="A23" s="2" t="inlineStr">
        <is>
          <t>Ingredientes da receita</t>
        </is>
      </c>
      <c r="D23" s="8">
        <f>SUM(D8:D22)</f>
        <v/>
      </c>
    </row>
    <row r="25">
      <c r="A25" s="4" t="inlineStr">
        <is>
          <t>Ingredientes por unidade</t>
        </is>
      </c>
      <c r="D25" s="17">
        <f>IFERROR(D23/B3,0)</f>
        <v/>
      </c>
    </row>
    <row r="26">
      <c r="A26" s="4" t="inlineStr">
        <is>
          <t>Embalagem por unidade</t>
        </is>
      </c>
      <c r="D26" s="17">
        <f>N(B5)</f>
        <v/>
      </c>
    </row>
    <row r="27">
      <c r="A27" s="4" t="inlineStr">
        <is>
          <t>Seu trabalho por unidade</t>
        </is>
      </c>
      <c r="D27" s="17">
        <f>IFERROR(B4/60*'Custos do mês'!B5/B3,0)</f>
        <v/>
      </c>
    </row>
    <row r="28">
      <c r="A28" s="4" t="inlineStr">
        <is>
          <t>Gastos fixos por unidade</t>
        </is>
      </c>
      <c r="D28" s="17">
        <f>IFERROR(B4/60*'Custos do mês'!B15/B3,0)</f>
        <v/>
      </c>
    </row>
    <row r="29">
      <c r="A29" s="2" t="inlineStr">
        <is>
          <t>CUSTO REAL POR UNIDADE</t>
        </is>
      </c>
      <c r="D29" s="8">
        <f>SUM(D25:D28)</f>
        <v/>
      </c>
    </row>
    <row r="31">
      <c r="A31" s="4" t="inlineStr">
        <is>
          <t>Preço mínimo (sem lucro, já com a taxa)</t>
        </is>
      </c>
      <c r="D31" s="17">
        <f>IFERROR(ROUNDUP(D29/(1-'Custos do mês'!B17)*2,0)/2,0)</f>
        <v/>
      </c>
      <c r="E31" s="6" t="inlineStr">
        <is>
          <t>abaixo disso você paga para trabalhar</t>
        </is>
      </c>
    </row>
    <row r="32">
      <c r="A32" s="2" t="inlineStr">
        <is>
          <t>PREÇO SUGERIDO (encomenda)</t>
        </is>
      </c>
      <c r="D32" s="8">
        <f>IFERROR(ROUNDUP(D29/(1-'Custos do mês'!B17-'Custos do mês'!B19)*2,0)/2,0)</f>
        <v/>
      </c>
      <c r="E32" s="6" t="inlineStr">
        <is>
          <t>arredondado para cima em R$ 0,50</t>
        </is>
      </c>
    </row>
    <row r="33">
      <c r="A33" s="4" t="inlineStr">
        <is>
          <t>Lucro por unidade no preço sugerido</t>
        </is>
      </c>
      <c r="D33" s="17">
        <f>D32*(1-'Custos do mês'!B17)-D29</f>
        <v/>
      </c>
    </row>
    <row r="34">
      <c r="A34" s="4" t="inlineStr">
        <is>
          <t>Preço sugerido no aplicativo de delivery</t>
        </is>
      </c>
      <c r="D34" s="17">
        <f>IF('Custos do mês'!B18=0,"",IFERROR(ROUNDUP(D29/(1-'Custos do mês'!B18-'Custos do mês'!B17-'Custos do mês'!B19)*2,0)/2,0))</f>
        <v/>
      </c>
    </row>
    <row r="36">
      <c r="A36" s="4" t="inlineStr">
        <is>
          <t>Preço que você cobra hoje (opcional)</t>
        </is>
      </c>
      <c r="B36" s="5" t="n"/>
    </row>
    <row r="37">
      <c r="A37" s="4" t="inlineStr">
        <is>
          <t>Quanto sobra por unidade no preço de hoje</t>
        </is>
      </c>
      <c r="D37" s="17">
        <f>IF(B36="","",B36*(1-'Custos do mês'!B17)-D29)</f>
        <v/>
      </c>
      <c r="E37" s="6" t="inlineStr">
        <is>
          <t>se der negativo, o preço de hoje não cobre o custo real</t>
        </is>
      </c>
    </row>
  </sheetData>
  <mergeCells count="1">
    <mergeCell ref="B2:D2"/>
  </mergeCells>
  <conditionalFormatting sqref="D8:D22">
    <cfRule type="expression" priority="1" dxfId="0">
      <formula>ISTEXT(D8)</formula>
    </cfRule>
  </conditionalFormatting>
  <conditionalFormatting sqref="D37">
    <cfRule type="expression" priority="2" dxfId="0">
      <formula>AND(ISNUMBER(D37),D37&lt;0)</formula>
    </cfRule>
  </conditionalFormatting>
  <dataValidations count="1">
    <dataValidation sqref="A8 A9 A10 A11 A12 A13 A14 A15 A16 A17 A18 A19 A20 A21 A22" showDropDown="0" showInputMessage="0" showErrorMessage="0" allowBlank="1" type="list">
      <formula1>=Insumos!$A$5:$A$104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9" customWidth="1" min="4" max="4"/>
    <col width="44" customWidth="1" min="5" max="5"/>
  </cols>
  <sheetData>
    <row r="1">
      <c r="A1" s="1" t="inlineStr">
        <is>
          <t>Ficha 2 · ficha de preço</t>
        </is>
      </c>
    </row>
    <row r="2">
      <c r="A2" s="4" t="inlineStr">
        <is>
          <t>Produto</t>
        </is>
      </c>
      <c r="B2" s="12" t="n"/>
      <c r="C2" s="13" t="n"/>
      <c r="D2" s="14" t="n"/>
    </row>
    <row r="3">
      <c r="A3" s="4" t="inlineStr">
        <is>
          <t>Rendimento da receita (unidades)</t>
        </is>
      </c>
      <c r="B3" s="7" t="n"/>
    </row>
    <row r="4">
      <c r="A4" s="4" t="inlineStr">
        <is>
          <t>Tempo para fazer a receita inteira (min)</t>
        </is>
      </c>
      <c r="B4" s="7" t="n"/>
    </row>
    <row r="5">
      <c r="A5" s="4" t="inlineStr">
        <is>
          <t>Embalagem por unidade vendida</t>
        </is>
      </c>
      <c r="B5" s="5" t="n"/>
      <c r="E5" s="6" t="inlineStr">
        <is>
          <t>forminha, caixa, pote, etiqueta: some o que vai em cada unidade</t>
        </is>
      </c>
    </row>
    <row r="7">
      <c r="A7" s="2" t="inlineStr">
        <is>
          <t>Ingrediente</t>
        </is>
      </c>
      <c r="B7" s="2" t="inlineStr">
        <is>
          <t>Qtd usada</t>
        </is>
      </c>
      <c r="C7" s="2" t="inlineStr">
        <is>
          <t>Unidade</t>
        </is>
      </c>
      <c r="D7" s="2" t="inlineStr">
        <is>
          <t>Custo</t>
        </is>
      </c>
    </row>
    <row r="8">
      <c r="A8" s="10" t="n"/>
      <c r="B8" s="15" t="n"/>
      <c r="C8" s="16">
        <f>IF(A8="","",IFERROR(INDEX(Insumos!$B$5:$B$104,MATCH(A8,Insumos!$A$5:$A$104,0)),""))</f>
        <v/>
      </c>
      <c r="D8" s="17">
        <f>IF(OR(A8="",B8=""),"",IFERROR(B8*INDEX(Insumos!$E$5:$E$104,MATCH(A8,Insumos!$A$5:$A$104,0)),"preencha o preço"))</f>
        <v/>
      </c>
    </row>
    <row r="9">
      <c r="A9" s="10" t="n"/>
      <c r="B9" s="15" t="n"/>
      <c r="C9" s="16">
        <f>IF(A9="","",IFERROR(INDEX(Insumos!$B$5:$B$104,MATCH(A9,Insumos!$A$5:$A$104,0)),""))</f>
        <v/>
      </c>
      <c r="D9" s="17">
        <f>IF(OR(A9="",B9=""),"",IFERROR(B9*INDEX(Insumos!$E$5:$E$104,MATCH(A9,Insumos!$A$5:$A$104,0)),"preencha o preço"))</f>
        <v/>
      </c>
    </row>
    <row r="10">
      <c r="A10" s="10" t="n"/>
      <c r="B10" s="15" t="n"/>
      <c r="C10" s="16">
        <f>IF(A10="","",IFERROR(INDEX(Insumos!$B$5:$B$104,MATCH(A10,Insumos!$A$5:$A$104,0)),""))</f>
        <v/>
      </c>
      <c r="D10" s="17">
        <f>IF(OR(A10="",B10=""),"",IFERROR(B10*INDEX(Insumos!$E$5:$E$104,MATCH(A10,Insumos!$A$5:$A$104,0)),"preencha o preço"))</f>
        <v/>
      </c>
    </row>
    <row r="11">
      <c r="A11" s="10" t="n"/>
      <c r="B11" s="15" t="n"/>
      <c r="C11" s="16">
        <f>IF(A11="","",IFERROR(INDEX(Insumos!$B$5:$B$104,MATCH(A11,Insumos!$A$5:$A$104,0)),""))</f>
        <v/>
      </c>
      <c r="D11" s="17">
        <f>IF(OR(A11="",B11=""),"",IFERROR(B11*INDEX(Insumos!$E$5:$E$104,MATCH(A11,Insumos!$A$5:$A$104,0)),"preencha o preço"))</f>
        <v/>
      </c>
    </row>
    <row r="12">
      <c r="A12" s="10" t="n"/>
      <c r="B12" s="15" t="n"/>
      <c r="C12" s="16">
        <f>IF(A12="","",IFERROR(INDEX(Insumos!$B$5:$B$104,MATCH(A12,Insumos!$A$5:$A$104,0)),""))</f>
        <v/>
      </c>
      <c r="D12" s="17">
        <f>IF(OR(A12="",B12=""),"",IFERROR(B12*INDEX(Insumos!$E$5:$E$104,MATCH(A12,Insumos!$A$5:$A$104,0)),"preencha o preço"))</f>
        <v/>
      </c>
    </row>
    <row r="13">
      <c r="A13" s="10" t="n"/>
      <c r="B13" s="15" t="n"/>
      <c r="C13" s="16">
        <f>IF(A13="","",IFERROR(INDEX(Insumos!$B$5:$B$104,MATCH(A13,Insumos!$A$5:$A$104,0)),""))</f>
        <v/>
      </c>
      <c r="D13" s="17">
        <f>IF(OR(A13="",B13=""),"",IFERROR(B13*INDEX(Insumos!$E$5:$E$104,MATCH(A13,Insumos!$A$5:$A$104,0)),"preencha o preço"))</f>
        <v/>
      </c>
    </row>
    <row r="14">
      <c r="A14" s="10" t="n"/>
      <c r="B14" s="15" t="n"/>
      <c r="C14" s="16">
        <f>IF(A14="","",IFERROR(INDEX(Insumos!$B$5:$B$104,MATCH(A14,Insumos!$A$5:$A$104,0)),""))</f>
        <v/>
      </c>
      <c r="D14" s="17">
        <f>IF(OR(A14="",B14=""),"",IFERROR(B14*INDEX(Insumos!$E$5:$E$104,MATCH(A14,Insumos!$A$5:$A$104,0)),"preencha o preço"))</f>
        <v/>
      </c>
    </row>
    <row r="15">
      <c r="A15" s="10" t="n"/>
      <c r="B15" s="15" t="n"/>
      <c r="C15" s="16">
        <f>IF(A15="","",IFERROR(INDEX(Insumos!$B$5:$B$104,MATCH(A15,Insumos!$A$5:$A$104,0)),""))</f>
        <v/>
      </c>
      <c r="D15" s="17">
        <f>IF(OR(A15="",B15=""),"",IFERROR(B15*INDEX(Insumos!$E$5:$E$104,MATCH(A15,Insumos!$A$5:$A$104,0)),"preencha o preço"))</f>
        <v/>
      </c>
    </row>
    <row r="16">
      <c r="A16" s="10" t="n"/>
      <c r="B16" s="15" t="n"/>
      <c r="C16" s="16">
        <f>IF(A16="","",IFERROR(INDEX(Insumos!$B$5:$B$104,MATCH(A16,Insumos!$A$5:$A$104,0)),""))</f>
        <v/>
      </c>
      <c r="D16" s="17">
        <f>IF(OR(A16="",B16=""),"",IFERROR(B16*INDEX(Insumos!$E$5:$E$104,MATCH(A16,Insumos!$A$5:$A$104,0)),"preencha o preço"))</f>
        <v/>
      </c>
    </row>
    <row r="17">
      <c r="A17" s="10" t="n"/>
      <c r="B17" s="15" t="n"/>
      <c r="C17" s="16">
        <f>IF(A17="","",IFERROR(INDEX(Insumos!$B$5:$B$104,MATCH(A17,Insumos!$A$5:$A$104,0)),""))</f>
        <v/>
      </c>
      <c r="D17" s="17">
        <f>IF(OR(A17="",B17=""),"",IFERROR(B17*INDEX(Insumos!$E$5:$E$104,MATCH(A17,Insumos!$A$5:$A$104,0)),"preencha o preço"))</f>
        <v/>
      </c>
    </row>
    <row r="18">
      <c r="A18" s="10" t="n"/>
      <c r="B18" s="15" t="n"/>
      <c r="C18" s="16">
        <f>IF(A18="","",IFERROR(INDEX(Insumos!$B$5:$B$104,MATCH(A18,Insumos!$A$5:$A$104,0)),""))</f>
        <v/>
      </c>
      <c r="D18" s="17">
        <f>IF(OR(A18="",B18=""),"",IFERROR(B18*INDEX(Insumos!$E$5:$E$104,MATCH(A18,Insumos!$A$5:$A$104,0)),"preencha o preço"))</f>
        <v/>
      </c>
    </row>
    <row r="19">
      <c r="A19" s="10" t="n"/>
      <c r="B19" s="15" t="n"/>
      <c r="C19" s="16">
        <f>IF(A19="","",IFERROR(INDEX(Insumos!$B$5:$B$104,MATCH(A19,Insumos!$A$5:$A$104,0)),""))</f>
        <v/>
      </c>
      <c r="D19" s="17">
        <f>IF(OR(A19="",B19=""),"",IFERROR(B19*INDEX(Insumos!$E$5:$E$104,MATCH(A19,Insumos!$A$5:$A$104,0)),"preencha o preço"))</f>
        <v/>
      </c>
    </row>
    <row r="20">
      <c r="A20" s="10" t="n"/>
      <c r="B20" s="15" t="n"/>
      <c r="C20" s="16">
        <f>IF(A20="","",IFERROR(INDEX(Insumos!$B$5:$B$104,MATCH(A20,Insumos!$A$5:$A$104,0)),""))</f>
        <v/>
      </c>
      <c r="D20" s="17">
        <f>IF(OR(A20="",B20=""),"",IFERROR(B20*INDEX(Insumos!$E$5:$E$104,MATCH(A20,Insumos!$A$5:$A$104,0)),"preencha o preço"))</f>
        <v/>
      </c>
    </row>
    <row r="21">
      <c r="A21" s="10" t="n"/>
      <c r="B21" s="15" t="n"/>
      <c r="C21" s="16">
        <f>IF(A21="","",IFERROR(INDEX(Insumos!$B$5:$B$104,MATCH(A21,Insumos!$A$5:$A$104,0)),""))</f>
        <v/>
      </c>
      <c r="D21" s="17">
        <f>IF(OR(A21="",B21=""),"",IFERROR(B21*INDEX(Insumos!$E$5:$E$104,MATCH(A21,Insumos!$A$5:$A$104,0)),"preencha o preço"))</f>
        <v/>
      </c>
    </row>
    <row r="22">
      <c r="A22" s="10" t="n"/>
      <c r="B22" s="15" t="n"/>
      <c r="C22" s="16">
        <f>IF(A22="","",IFERROR(INDEX(Insumos!$B$5:$B$104,MATCH(A22,Insumos!$A$5:$A$104,0)),""))</f>
        <v/>
      </c>
      <c r="D22" s="17">
        <f>IF(OR(A22="",B22=""),"",IFERROR(B22*INDEX(Insumos!$E$5:$E$104,MATCH(A22,Insumos!$A$5:$A$104,0)),"preencha o preço"))</f>
        <v/>
      </c>
    </row>
    <row r="23">
      <c r="A23" s="2" t="inlineStr">
        <is>
          <t>Ingredientes da receita</t>
        </is>
      </c>
      <c r="D23" s="8">
        <f>SUM(D8:D22)</f>
        <v/>
      </c>
    </row>
    <row r="25">
      <c r="A25" s="4" t="inlineStr">
        <is>
          <t>Ingredientes por unidade</t>
        </is>
      </c>
      <c r="D25" s="17">
        <f>IFERROR(D23/B3,0)</f>
        <v/>
      </c>
    </row>
    <row r="26">
      <c r="A26" s="4" t="inlineStr">
        <is>
          <t>Embalagem por unidade</t>
        </is>
      </c>
      <c r="D26" s="17">
        <f>N(B5)</f>
        <v/>
      </c>
    </row>
    <row r="27">
      <c r="A27" s="4" t="inlineStr">
        <is>
          <t>Seu trabalho por unidade</t>
        </is>
      </c>
      <c r="D27" s="17">
        <f>IFERROR(B4/60*'Custos do mês'!B5/B3,0)</f>
        <v/>
      </c>
    </row>
    <row r="28">
      <c r="A28" s="4" t="inlineStr">
        <is>
          <t>Gastos fixos por unidade</t>
        </is>
      </c>
      <c r="D28" s="17">
        <f>IFERROR(B4/60*'Custos do mês'!B15/B3,0)</f>
        <v/>
      </c>
    </row>
    <row r="29">
      <c r="A29" s="2" t="inlineStr">
        <is>
          <t>CUSTO REAL POR UNIDADE</t>
        </is>
      </c>
      <c r="D29" s="8">
        <f>SUM(D25:D28)</f>
        <v/>
      </c>
    </row>
    <row r="31">
      <c r="A31" s="4" t="inlineStr">
        <is>
          <t>Preço mínimo (sem lucro, já com a taxa)</t>
        </is>
      </c>
      <c r="D31" s="17">
        <f>IFERROR(ROUNDUP(D29/(1-'Custos do mês'!B17)*2,0)/2,0)</f>
        <v/>
      </c>
      <c r="E31" s="6" t="inlineStr">
        <is>
          <t>abaixo disso você paga para trabalhar</t>
        </is>
      </c>
    </row>
    <row r="32">
      <c r="A32" s="2" t="inlineStr">
        <is>
          <t>PREÇO SUGERIDO (encomenda)</t>
        </is>
      </c>
      <c r="D32" s="8">
        <f>IFERROR(ROUNDUP(D29/(1-'Custos do mês'!B17-'Custos do mês'!B19)*2,0)/2,0)</f>
        <v/>
      </c>
      <c r="E32" s="6" t="inlineStr">
        <is>
          <t>arredondado para cima em R$ 0,50</t>
        </is>
      </c>
    </row>
    <row r="33">
      <c r="A33" s="4" t="inlineStr">
        <is>
          <t>Lucro por unidade no preço sugerido</t>
        </is>
      </c>
      <c r="D33" s="17">
        <f>D32*(1-'Custos do mês'!B17)-D29</f>
        <v/>
      </c>
    </row>
    <row r="34">
      <c r="A34" s="4" t="inlineStr">
        <is>
          <t>Preço sugerido no aplicativo de delivery</t>
        </is>
      </c>
      <c r="D34" s="17">
        <f>IF('Custos do mês'!B18=0,"",IFERROR(ROUNDUP(D29/(1-'Custos do mês'!B18-'Custos do mês'!B17-'Custos do mês'!B19)*2,0)/2,0))</f>
        <v/>
      </c>
    </row>
    <row r="36">
      <c r="A36" s="4" t="inlineStr">
        <is>
          <t>Preço que você cobra hoje (opcional)</t>
        </is>
      </c>
      <c r="B36" s="5" t="n"/>
    </row>
    <row r="37">
      <c r="A37" s="4" t="inlineStr">
        <is>
          <t>Quanto sobra por unidade no preço de hoje</t>
        </is>
      </c>
      <c r="D37" s="17">
        <f>IF(B36="","",B36*(1-'Custos do mês'!B17)-D29)</f>
        <v/>
      </c>
      <c r="E37" s="6" t="inlineStr">
        <is>
          <t>se der negativo, o preço de hoje não cobre o custo real</t>
        </is>
      </c>
    </row>
  </sheetData>
  <mergeCells count="1">
    <mergeCell ref="B2:D2"/>
  </mergeCells>
  <conditionalFormatting sqref="D8:D22">
    <cfRule type="expression" priority="1" dxfId="0">
      <formula>ISTEXT(D8)</formula>
    </cfRule>
  </conditionalFormatting>
  <conditionalFormatting sqref="D37">
    <cfRule type="expression" priority="2" dxfId="0">
      <formula>AND(ISNUMBER(D37),D37&lt;0)</formula>
    </cfRule>
  </conditionalFormatting>
  <dataValidations count="1">
    <dataValidation sqref="A8 A9 A10 A11 A12 A13 A14 A15 A16 A17 A18 A19 A20 A21 A22" showDropDown="0" showInputMessage="0" showErrorMessage="0" allowBlank="1" type="list">
      <formula1>=Insumos!$A$5:$A$104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9" customWidth="1" min="4" max="4"/>
    <col width="44" customWidth="1" min="5" max="5"/>
  </cols>
  <sheetData>
    <row r="1">
      <c r="A1" s="1" t="inlineStr">
        <is>
          <t>Ficha 3 · ficha de preço</t>
        </is>
      </c>
    </row>
    <row r="2">
      <c r="A2" s="4" t="inlineStr">
        <is>
          <t>Produto</t>
        </is>
      </c>
      <c r="B2" s="12" t="n"/>
      <c r="C2" s="13" t="n"/>
      <c r="D2" s="14" t="n"/>
    </row>
    <row r="3">
      <c r="A3" s="4" t="inlineStr">
        <is>
          <t>Rendimento da receita (unidades)</t>
        </is>
      </c>
      <c r="B3" s="7" t="n"/>
    </row>
    <row r="4">
      <c r="A4" s="4" t="inlineStr">
        <is>
          <t>Tempo para fazer a receita inteira (min)</t>
        </is>
      </c>
      <c r="B4" s="7" t="n"/>
    </row>
    <row r="5">
      <c r="A5" s="4" t="inlineStr">
        <is>
          <t>Embalagem por unidade vendida</t>
        </is>
      </c>
      <c r="B5" s="5" t="n"/>
      <c r="E5" s="6" t="inlineStr">
        <is>
          <t>forminha, caixa, pote, etiqueta: some o que vai em cada unidade</t>
        </is>
      </c>
    </row>
    <row r="7">
      <c r="A7" s="2" t="inlineStr">
        <is>
          <t>Ingrediente</t>
        </is>
      </c>
      <c r="B7" s="2" t="inlineStr">
        <is>
          <t>Qtd usada</t>
        </is>
      </c>
      <c r="C7" s="2" t="inlineStr">
        <is>
          <t>Unidade</t>
        </is>
      </c>
      <c r="D7" s="2" t="inlineStr">
        <is>
          <t>Custo</t>
        </is>
      </c>
    </row>
    <row r="8">
      <c r="A8" s="10" t="n"/>
      <c r="B8" s="15" t="n"/>
      <c r="C8" s="16">
        <f>IF(A8="","",IFERROR(INDEX(Insumos!$B$5:$B$104,MATCH(A8,Insumos!$A$5:$A$104,0)),""))</f>
        <v/>
      </c>
      <c r="D8" s="17">
        <f>IF(OR(A8="",B8=""),"",IFERROR(B8*INDEX(Insumos!$E$5:$E$104,MATCH(A8,Insumos!$A$5:$A$104,0)),"preencha o preço"))</f>
        <v/>
      </c>
    </row>
    <row r="9">
      <c r="A9" s="10" t="n"/>
      <c r="B9" s="15" t="n"/>
      <c r="C9" s="16">
        <f>IF(A9="","",IFERROR(INDEX(Insumos!$B$5:$B$104,MATCH(A9,Insumos!$A$5:$A$104,0)),""))</f>
        <v/>
      </c>
      <c r="D9" s="17">
        <f>IF(OR(A9="",B9=""),"",IFERROR(B9*INDEX(Insumos!$E$5:$E$104,MATCH(A9,Insumos!$A$5:$A$104,0)),"preencha o preço"))</f>
        <v/>
      </c>
    </row>
    <row r="10">
      <c r="A10" s="10" t="n"/>
      <c r="B10" s="15" t="n"/>
      <c r="C10" s="16">
        <f>IF(A10="","",IFERROR(INDEX(Insumos!$B$5:$B$104,MATCH(A10,Insumos!$A$5:$A$104,0)),""))</f>
        <v/>
      </c>
      <c r="D10" s="17">
        <f>IF(OR(A10="",B10=""),"",IFERROR(B10*INDEX(Insumos!$E$5:$E$104,MATCH(A10,Insumos!$A$5:$A$104,0)),"preencha o preço"))</f>
        <v/>
      </c>
    </row>
    <row r="11">
      <c r="A11" s="10" t="n"/>
      <c r="B11" s="15" t="n"/>
      <c r="C11" s="16">
        <f>IF(A11="","",IFERROR(INDEX(Insumos!$B$5:$B$104,MATCH(A11,Insumos!$A$5:$A$104,0)),""))</f>
        <v/>
      </c>
      <c r="D11" s="17">
        <f>IF(OR(A11="",B11=""),"",IFERROR(B11*INDEX(Insumos!$E$5:$E$104,MATCH(A11,Insumos!$A$5:$A$104,0)),"preencha o preço"))</f>
        <v/>
      </c>
    </row>
    <row r="12">
      <c r="A12" s="10" t="n"/>
      <c r="B12" s="15" t="n"/>
      <c r="C12" s="16">
        <f>IF(A12="","",IFERROR(INDEX(Insumos!$B$5:$B$104,MATCH(A12,Insumos!$A$5:$A$104,0)),""))</f>
        <v/>
      </c>
      <c r="D12" s="17">
        <f>IF(OR(A12="",B12=""),"",IFERROR(B12*INDEX(Insumos!$E$5:$E$104,MATCH(A12,Insumos!$A$5:$A$104,0)),"preencha o preço"))</f>
        <v/>
      </c>
    </row>
    <row r="13">
      <c r="A13" s="10" t="n"/>
      <c r="B13" s="15" t="n"/>
      <c r="C13" s="16">
        <f>IF(A13="","",IFERROR(INDEX(Insumos!$B$5:$B$104,MATCH(A13,Insumos!$A$5:$A$104,0)),""))</f>
        <v/>
      </c>
      <c r="D13" s="17">
        <f>IF(OR(A13="",B13=""),"",IFERROR(B13*INDEX(Insumos!$E$5:$E$104,MATCH(A13,Insumos!$A$5:$A$104,0)),"preencha o preço"))</f>
        <v/>
      </c>
    </row>
    <row r="14">
      <c r="A14" s="10" t="n"/>
      <c r="B14" s="15" t="n"/>
      <c r="C14" s="16">
        <f>IF(A14="","",IFERROR(INDEX(Insumos!$B$5:$B$104,MATCH(A14,Insumos!$A$5:$A$104,0)),""))</f>
        <v/>
      </c>
      <c r="D14" s="17">
        <f>IF(OR(A14="",B14=""),"",IFERROR(B14*INDEX(Insumos!$E$5:$E$104,MATCH(A14,Insumos!$A$5:$A$104,0)),"preencha o preço"))</f>
        <v/>
      </c>
    </row>
    <row r="15">
      <c r="A15" s="10" t="n"/>
      <c r="B15" s="15" t="n"/>
      <c r="C15" s="16">
        <f>IF(A15="","",IFERROR(INDEX(Insumos!$B$5:$B$104,MATCH(A15,Insumos!$A$5:$A$104,0)),""))</f>
        <v/>
      </c>
      <c r="D15" s="17">
        <f>IF(OR(A15="",B15=""),"",IFERROR(B15*INDEX(Insumos!$E$5:$E$104,MATCH(A15,Insumos!$A$5:$A$104,0)),"preencha o preço"))</f>
        <v/>
      </c>
    </row>
    <row r="16">
      <c r="A16" s="10" t="n"/>
      <c r="B16" s="15" t="n"/>
      <c r="C16" s="16">
        <f>IF(A16="","",IFERROR(INDEX(Insumos!$B$5:$B$104,MATCH(A16,Insumos!$A$5:$A$104,0)),""))</f>
        <v/>
      </c>
      <c r="D16" s="17">
        <f>IF(OR(A16="",B16=""),"",IFERROR(B16*INDEX(Insumos!$E$5:$E$104,MATCH(A16,Insumos!$A$5:$A$104,0)),"preencha o preço"))</f>
        <v/>
      </c>
    </row>
    <row r="17">
      <c r="A17" s="10" t="n"/>
      <c r="B17" s="15" t="n"/>
      <c r="C17" s="16">
        <f>IF(A17="","",IFERROR(INDEX(Insumos!$B$5:$B$104,MATCH(A17,Insumos!$A$5:$A$104,0)),""))</f>
        <v/>
      </c>
      <c r="D17" s="17">
        <f>IF(OR(A17="",B17=""),"",IFERROR(B17*INDEX(Insumos!$E$5:$E$104,MATCH(A17,Insumos!$A$5:$A$104,0)),"preencha o preço"))</f>
        <v/>
      </c>
    </row>
    <row r="18">
      <c r="A18" s="10" t="n"/>
      <c r="B18" s="15" t="n"/>
      <c r="C18" s="16">
        <f>IF(A18="","",IFERROR(INDEX(Insumos!$B$5:$B$104,MATCH(A18,Insumos!$A$5:$A$104,0)),""))</f>
        <v/>
      </c>
      <c r="D18" s="17">
        <f>IF(OR(A18="",B18=""),"",IFERROR(B18*INDEX(Insumos!$E$5:$E$104,MATCH(A18,Insumos!$A$5:$A$104,0)),"preencha o preço"))</f>
        <v/>
      </c>
    </row>
    <row r="19">
      <c r="A19" s="10" t="n"/>
      <c r="B19" s="15" t="n"/>
      <c r="C19" s="16">
        <f>IF(A19="","",IFERROR(INDEX(Insumos!$B$5:$B$104,MATCH(A19,Insumos!$A$5:$A$104,0)),""))</f>
        <v/>
      </c>
      <c r="D19" s="17">
        <f>IF(OR(A19="",B19=""),"",IFERROR(B19*INDEX(Insumos!$E$5:$E$104,MATCH(A19,Insumos!$A$5:$A$104,0)),"preencha o preço"))</f>
        <v/>
      </c>
    </row>
    <row r="20">
      <c r="A20" s="10" t="n"/>
      <c r="B20" s="15" t="n"/>
      <c r="C20" s="16">
        <f>IF(A20="","",IFERROR(INDEX(Insumos!$B$5:$B$104,MATCH(A20,Insumos!$A$5:$A$104,0)),""))</f>
        <v/>
      </c>
      <c r="D20" s="17">
        <f>IF(OR(A20="",B20=""),"",IFERROR(B20*INDEX(Insumos!$E$5:$E$104,MATCH(A20,Insumos!$A$5:$A$104,0)),"preencha o preço"))</f>
        <v/>
      </c>
    </row>
    <row r="21">
      <c r="A21" s="10" t="n"/>
      <c r="B21" s="15" t="n"/>
      <c r="C21" s="16">
        <f>IF(A21="","",IFERROR(INDEX(Insumos!$B$5:$B$104,MATCH(A21,Insumos!$A$5:$A$104,0)),""))</f>
        <v/>
      </c>
      <c r="D21" s="17">
        <f>IF(OR(A21="",B21=""),"",IFERROR(B21*INDEX(Insumos!$E$5:$E$104,MATCH(A21,Insumos!$A$5:$A$104,0)),"preencha o preço"))</f>
        <v/>
      </c>
    </row>
    <row r="22">
      <c r="A22" s="10" t="n"/>
      <c r="B22" s="15" t="n"/>
      <c r="C22" s="16">
        <f>IF(A22="","",IFERROR(INDEX(Insumos!$B$5:$B$104,MATCH(A22,Insumos!$A$5:$A$104,0)),""))</f>
        <v/>
      </c>
      <c r="D22" s="17">
        <f>IF(OR(A22="",B22=""),"",IFERROR(B22*INDEX(Insumos!$E$5:$E$104,MATCH(A22,Insumos!$A$5:$A$104,0)),"preencha o preço"))</f>
        <v/>
      </c>
    </row>
    <row r="23">
      <c r="A23" s="2" t="inlineStr">
        <is>
          <t>Ingredientes da receita</t>
        </is>
      </c>
      <c r="D23" s="8">
        <f>SUM(D8:D22)</f>
        <v/>
      </c>
    </row>
    <row r="25">
      <c r="A25" s="4" t="inlineStr">
        <is>
          <t>Ingredientes por unidade</t>
        </is>
      </c>
      <c r="D25" s="17">
        <f>IFERROR(D23/B3,0)</f>
        <v/>
      </c>
    </row>
    <row r="26">
      <c r="A26" s="4" t="inlineStr">
        <is>
          <t>Embalagem por unidade</t>
        </is>
      </c>
      <c r="D26" s="17">
        <f>N(B5)</f>
        <v/>
      </c>
    </row>
    <row r="27">
      <c r="A27" s="4" t="inlineStr">
        <is>
          <t>Seu trabalho por unidade</t>
        </is>
      </c>
      <c r="D27" s="17">
        <f>IFERROR(B4/60*'Custos do mês'!B5/B3,0)</f>
        <v/>
      </c>
    </row>
    <row r="28">
      <c r="A28" s="4" t="inlineStr">
        <is>
          <t>Gastos fixos por unidade</t>
        </is>
      </c>
      <c r="D28" s="17">
        <f>IFERROR(B4/60*'Custos do mês'!B15/B3,0)</f>
        <v/>
      </c>
    </row>
    <row r="29">
      <c r="A29" s="2" t="inlineStr">
        <is>
          <t>CUSTO REAL POR UNIDADE</t>
        </is>
      </c>
      <c r="D29" s="8">
        <f>SUM(D25:D28)</f>
        <v/>
      </c>
    </row>
    <row r="31">
      <c r="A31" s="4" t="inlineStr">
        <is>
          <t>Preço mínimo (sem lucro, já com a taxa)</t>
        </is>
      </c>
      <c r="D31" s="17">
        <f>IFERROR(ROUNDUP(D29/(1-'Custos do mês'!B17)*2,0)/2,0)</f>
        <v/>
      </c>
      <c r="E31" s="6" t="inlineStr">
        <is>
          <t>abaixo disso você paga para trabalhar</t>
        </is>
      </c>
    </row>
    <row r="32">
      <c r="A32" s="2" t="inlineStr">
        <is>
          <t>PREÇO SUGERIDO (encomenda)</t>
        </is>
      </c>
      <c r="D32" s="8">
        <f>IFERROR(ROUNDUP(D29/(1-'Custos do mês'!B17-'Custos do mês'!B19)*2,0)/2,0)</f>
        <v/>
      </c>
      <c r="E32" s="6" t="inlineStr">
        <is>
          <t>arredondado para cima em R$ 0,50</t>
        </is>
      </c>
    </row>
    <row r="33">
      <c r="A33" s="4" t="inlineStr">
        <is>
          <t>Lucro por unidade no preço sugerido</t>
        </is>
      </c>
      <c r="D33" s="17">
        <f>D32*(1-'Custos do mês'!B17)-D29</f>
        <v/>
      </c>
    </row>
    <row r="34">
      <c r="A34" s="4" t="inlineStr">
        <is>
          <t>Preço sugerido no aplicativo de delivery</t>
        </is>
      </c>
      <c r="D34" s="17">
        <f>IF('Custos do mês'!B18=0,"",IFERROR(ROUNDUP(D29/(1-'Custos do mês'!B18-'Custos do mês'!B17-'Custos do mês'!B19)*2,0)/2,0))</f>
        <v/>
      </c>
    </row>
    <row r="36">
      <c r="A36" s="4" t="inlineStr">
        <is>
          <t>Preço que você cobra hoje (opcional)</t>
        </is>
      </c>
      <c r="B36" s="5" t="n"/>
    </row>
    <row r="37">
      <c r="A37" s="4" t="inlineStr">
        <is>
          <t>Quanto sobra por unidade no preço de hoje</t>
        </is>
      </c>
      <c r="D37" s="17">
        <f>IF(B36="","",B36*(1-'Custos do mês'!B17)-D29)</f>
        <v/>
      </c>
      <c r="E37" s="6" t="inlineStr">
        <is>
          <t>se der negativo, o preço de hoje não cobre o custo real</t>
        </is>
      </c>
    </row>
  </sheetData>
  <mergeCells count="1">
    <mergeCell ref="B2:D2"/>
  </mergeCells>
  <conditionalFormatting sqref="D8:D22">
    <cfRule type="expression" priority="1" dxfId="0">
      <formula>ISTEXT(D8)</formula>
    </cfRule>
  </conditionalFormatting>
  <conditionalFormatting sqref="D37">
    <cfRule type="expression" priority="2" dxfId="0">
      <formula>AND(ISNUMBER(D37),D37&lt;0)</formula>
    </cfRule>
  </conditionalFormatting>
  <dataValidations count="1">
    <dataValidation sqref="A8 A9 A10 A11 A12 A13 A14 A15 A16 A17 A18 A19 A20 A21 A22" showDropDown="0" showInputMessage="0" showErrorMessage="0" allowBlank="1" type="list">
      <formula1>=Insumos!$A$5:$A$104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9" customWidth="1" min="4" max="4"/>
    <col width="44" customWidth="1" min="5" max="5"/>
  </cols>
  <sheetData>
    <row r="1">
      <c r="A1" s="1" t="inlineStr">
        <is>
          <t>Ficha 4 · ficha de preço</t>
        </is>
      </c>
    </row>
    <row r="2">
      <c r="A2" s="4" t="inlineStr">
        <is>
          <t>Produto</t>
        </is>
      </c>
      <c r="B2" s="12" t="n"/>
      <c r="C2" s="13" t="n"/>
      <c r="D2" s="14" t="n"/>
    </row>
    <row r="3">
      <c r="A3" s="4" t="inlineStr">
        <is>
          <t>Rendimento da receita (unidades)</t>
        </is>
      </c>
      <c r="B3" s="7" t="n"/>
    </row>
    <row r="4">
      <c r="A4" s="4" t="inlineStr">
        <is>
          <t>Tempo para fazer a receita inteira (min)</t>
        </is>
      </c>
      <c r="B4" s="7" t="n"/>
    </row>
    <row r="5">
      <c r="A5" s="4" t="inlineStr">
        <is>
          <t>Embalagem por unidade vendida</t>
        </is>
      </c>
      <c r="B5" s="5" t="n"/>
      <c r="E5" s="6" t="inlineStr">
        <is>
          <t>forminha, caixa, pote, etiqueta: some o que vai em cada unidade</t>
        </is>
      </c>
    </row>
    <row r="7">
      <c r="A7" s="2" t="inlineStr">
        <is>
          <t>Ingrediente</t>
        </is>
      </c>
      <c r="B7" s="2" t="inlineStr">
        <is>
          <t>Qtd usada</t>
        </is>
      </c>
      <c r="C7" s="2" t="inlineStr">
        <is>
          <t>Unidade</t>
        </is>
      </c>
      <c r="D7" s="2" t="inlineStr">
        <is>
          <t>Custo</t>
        </is>
      </c>
    </row>
    <row r="8">
      <c r="A8" s="10" t="n"/>
      <c r="B8" s="15" t="n"/>
      <c r="C8" s="16">
        <f>IF(A8="","",IFERROR(INDEX(Insumos!$B$5:$B$104,MATCH(A8,Insumos!$A$5:$A$104,0)),""))</f>
        <v/>
      </c>
      <c r="D8" s="17">
        <f>IF(OR(A8="",B8=""),"",IFERROR(B8*INDEX(Insumos!$E$5:$E$104,MATCH(A8,Insumos!$A$5:$A$104,0)),"preencha o preço"))</f>
        <v/>
      </c>
    </row>
    <row r="9">
      <c r="A9" s="10" t="n"/>
      <c r="B9" s="15" t="n"/>
      <c r="C9" s="16">
        <f>IF(A9="","",IFERROR(INDEX(Insumos!$B$5:$B$104,MATCH(A9,Insumos!$A$5:$A$104,0)),""))</f>
        <v/>
      </c>
      <c r="D9" s="17">
        <f>IF(OR(A9="",B9=""),"",IFERROR(B9*INDEX(Insumos!$E$5:$E$104,MATCH(A9,Insumos!$A$5:$A$104,0)),"preencha o preço"))</f>
        <v/>
      </c>
    </row>
    <row r="10">
      <c r="A10" s="10" t="n"/>
      <c r="B10" s="15" t="n"/>
      <c r="C10" s="16">
        <f>IF(A10="","",IFERROR(INDEX(Insumos!$B$5:$B$104,MATCH(A10,Insumos!$A$5:$A$104,0)),""))</f>
        <v/>
      </c>
      <c r="D10" s="17">
        <f>IF(OR(A10="",B10=""),"",IFERROR(B10*INDEX(Insumos!$E$5:$E$104,MATCH(A10,Insumos!$A$5:$A$104,0)),"preencha o preço"))</f>
        <v/>
      </c>
    </row>
    <row r="11">
      <c r="A11" s="10" t="n"/>
      <c r="B11" s="15" t="n"/>
      <c r="C11" s="16">
        <f>IF(A11="","",IFERROR(INDEX(Insumos!$B$5:$B$104,MATCH(A11,Insumos!$A$5:$A$104,0)),""))</f>
        <v/>
      </c>
      <c r="D11" s="17">
        <f>IF(OR(A11="",B11=""),"",IFERROR(B11*INDEX(Insumos!$E$5:$E$104,MATCH(A11,Insumos!$A$5:$A$104,0)),"preencha o preço"))</f>
        <v/>
      </c>
    </row>
    <row r="12">
      <c r="A12" s="10" t="n"/>
      <c r="B12" s="15" t="n"/>
      <c r="C12" s="16">
        <f>IF(A12="","",IFERROR(INDEX(Insumos!$B$5:$B$104,MATCH(A12,Insumos!$A$5:$A$104,0)),""))</f>
        <v/>
      </c>
      <c r="D12" s="17">
        <f>IF(OR(A12="",B12=""),"",IFERROR(B12*INDEX(Insumos!$E$5:$E$104,MATCH(A12,Insumos!$A$5:$A$104,0)),"preencha o preço"))</f>
        <v/>
      </c>
    </row>
    <row r="13">
      <c r="A13" s="10" t="n"/>
      <c r="B13" s="15" t="n"/>
      <c r="C13" s="16">
        <f>IF(A13="","",IFERROR(INDEX(Insumos!$B$5:$B$104,MATCH(A13,Insumos!$A$5:$A$104,0)),""))</f>
        <v/>
      </c>
      <c r="D13" s="17">
        <f>IF(OR(A13="",B13=""),"",IFERROR(B13*INDEX(Insumos!$E$5:$E$104,MATCH(A13,Insumos!$A$5:$A$104,0)),"preencha o preço"))</f>
        <v/>
      </c>
    </row>
    <row r="14">
      <c r="A14" s="10" t="n"/>
      <c r="B14" s="15" t="n"/>
      <c r="C14" s="16">
        <f>IF(A14="","",IFERROR(INDEX(Insumos!$B$5:$B$104,MATCH(A14,Insumos!$A$5:$A$104,0)),""))</f>
        <v/>
      </c>
      <c r="D14" s="17">
        <f>IF(OR(A14="",B14=""),"",IFERROR(B14*INDEX(Insumos!$E$5:$E$104,MATCH(A14,Insumos!$A$5:$A$104,0)),"preencha o preço"))</f>
        <v/>
      </c>
    </row>
    <row r="15">
      <c r="A15" s="10" t="n"/>
      <c r="B15" s="15" t="n"/>
      <c r="C15" s="16">
        <f>IF(A15="","",IFERROR(INDEX(Insumos!$B$5:$B$104,MATCH(A15,Insumos!$A$5:$A$104,0)),""))</f>
        <v/>
      </c>
      <c r="D15" s="17">
        <f>IF(OR(A15="",B15=""),"",IFERROR(B15*INDEX(Insumos!$E$5:$E$104,MATCH(A15,Insumos!$A$5:$A$104,0)),"preencha o preço"))</f>
        <v/>
      </c>
    </row>
    <row r="16">
      <c r="A16" s="10" t="n"/>
      <c r="B16" s="15" t="n"/>
      <c r="C16" s="16">
        <f>IF(A16="","",IFERROR(INDEX(Insumos!$B$5:$B$104,MATCH(A16,Insumos!$A$5:$A$104,0)),""))</f>
        <v/>
      </c>
      <c r="D16" s="17">
        <f>IF(OR(A16="",B16=""),"",IFERROR(B16*INDEX(Insumos!$E$5:$E$104,MATCH(A16,Insumos!$A$5:$A$104,0)),"preencha o preço"))</f>
        <v/>
      </c>
    </row>
    <row r="17">
      <c r="A17" s="10" t="n"/>
      <c r="B17" s="15" t="n"/>
      <c r="C17" s="16">
        <f>IF(A17="","",IFERROR(INDEX(Insumos!$B$5:$B$104,MATCH(A17,Insumos!$A$5:$A$104,0)),""))</f>
        <v/>
      </c>
      <c r="D17" s="17">
        <f>IF(OR(A17="",B17=""),"",IFERROR(B17*INDEX(Insumos!$E$5:$E$104,MATCH(A17,Insumos!$A$5:$A$104,0)),"preencha o preço"))</f>
        <v/>
      </c>
    </row>
    <row r="18">
      <c r="A18" s="10" t="n"/>
      <c r="B18" s="15" t="n"/>
      <c r="C18" s="16">
        <f>IF(A18="","",IFERROR(INDEX(Insumos!$B$5:$B$104,MATCH(A18,Insumos!$A$5:$A$104,0)),""))</f>
        <v/>
      </c>
      <c r="D18" s="17">
        <f>IF(OR(A18="",B18=""),"",IFERROR(B18*INDEX(Insumos!$E$5:$E$104,MATCH(A18,Insumos!$A$5:$A$104,0)),"preencha o preço"))</f>
        <v/>
      </c>
    </row>
    <row r="19">
      <c r="A19" s="10" t="n"/>
      <c r="B19" s="15" t="n"/>
      <c r="C19" s="16">
        <f>IF(A19="","",IFERROR(INDEX(Insumos!$B$5:$B$104,MATCH(A19,Insumos!$A$5:$A$104,0)),""))</f>
        <v/>
      </c>
      <c r="D19" s="17">
        <f>IF(OR(A19="",B19=""),"",IFERROR(B19*INDEX(Insumos!$E$5:$E$104,MATCH(A19,Insumos!$A$5:$A$104,0)),"preencha o preço"))</f>
        <v/>
      </c>
    </row>
    <row r="20">
      <c r="A20" s="10" t="n"/>
      <c r="B20" s="15" t="n"/>
      <c r="C20" s="16">
        <f>IF(A20="","",IFERROR(INDEX(Insumos!$B$5:$B$104,MATCH(A20,Insumos!$A$5:$A$104,0)),""))</f>
        <v/>
      </c>
      <c r="D20" s="17">
        <f>IF(OR(A20="",B20=""),"",IFERROR(B20*INDEX(Insumos!$E$5:$E$104,MATCH(A20,Insumos!$A$5:$A$104,0)),"preencha o preço"))</f>
        <v/>
      </c>
    </row>
    <row r="21">
      <c r="A21" s="10" t="n"/>
      <c r="B21" s="15" t="n"/>
      <c r="C21" s="16">
        <f>IF(A21="","",IFERROR(INDEX(Insumos!$B$5:$B$104,MATCH(A21,Insumos!$A$5:$A$104,0)),""))</f>
        <v/>
      </c>
      <c r="D21" s="17">
        <f>IF(OR(A21="",B21=""),"",IFERROR(B21*INDEX(Insumos!$E$5:$E$104,MATCH(A21,Insumos!$A$5:$A$104,0)),"preencha o preço"))</f>
        <v/>
      </c>
    </row>
    <row r="22">
      <c r="A22" s="10" t="n"/>
      <c r="B22" s="15" t="n"/>
      <c r="C22" s="16">
        <f>IF(A22="","",IFERROR(INDEX(Insumos!$B$5:$B$104,MATCH(A22,Insumos!$A$5:$A$104,0)),""))</f>
        <v/>
      </c>
      <c r="D22" s="17">
        <f>IF(OR(A22="",B22=""),"",IFERROR(B22*INDEX(Insumos!$E$5:$E$104,MATCH(A22,Insumos!$A$5:$A$104,0)),"preencha o preço"))</f>
        <v/>
      </c>
    </row>
    <row r="23">
      <c r="A23" s="2" t="inlineStr">
        <is>
          <t>Ingredientes da receita</t>
        </is>
      </c>
      <c r="D23" s="8">
        <f>SUM(D8:D22)</f>
        <v/>
      </c>
    </row>
    <row r="25">
      <c r="A25" s="4" t="inlineStr">
        <is>
          <t>Ingredientes por unidade</t>
        </is>
      </c>
      <c r="D25" s="17">
        <f>IFERROR(D23/B3,0)</f>
        <v/>
      </c>
    </row>
    <row r="26">
      <c r="A26" s="4" t="inlineStr">
        <is>
          <t>Embalagem por unidade</t>
        </is>
      </c>
      <c r="D26" s="17">
        <f>N(B5)</f>
        <v/>
      </c>
    </row>
    <row r="27">
      <c r="A27" s="4" t="inlineStr">
        <is>
          <t>Seu trabalho por unidade</t>
        </is>
      </c>
      <c r="D27" s="17">
        <f>IFERROR(B4/60*'Custos do mês'!B5/B3,0)</f>
        <v/>
      </c>
    </row>
    <row r="28">
      <c r="A28" s="4" t="inlineStr">
        <is>
          <t>Gastos fixos por unidade</t>
        </is>
      </c>
      <c r="D28" s="17">
        <f>IFERROR(B4/60*'Custos do mês'!B15/B3,0)</f>
        <v/>
      </c>
    </row>
    <row r="29">
      <c r="A29" s="2" t="inlineStr">
        <is>
          <t>CUSTO REAL POR UNIDADE</t>
        </is>
      </c>
      <c r="D29" s="8">
        <f>SUM(D25:D28)</f>
        <v/>
      </c>
    </row>
    <row r="31">
      <c r="A31" s="4" t="inlineStr">
        <is>
          <t>Preço mínimo (sem lucro, já com a taxa)</t>
        </is>
      </c>
      <c r="D31" s="17">
        <f>IFERROR(ROUNDUP(D29/(1-'Custos do mês'!B17)*2,0)/2,0)</f>
        <v/>
      </c>
      <c r="E31" s="6" t="inlineStr">
        <is>
          <t>abaixo disso você paga para trabalhar</t>
        </is>
      </c>
    </row>
    <row r="32">
      <c r="A32" s="2" t="inlineStr">
        <is>
          <t>PREÇO SUGERIDO (encomenda)</t>
        </is>
      </c>
      <c r="D32" s="8">
        <f>IFERROR(ROUNDUP(D29/(1-'Custos do mês'!B17-'Custos do mês'!B19)*2,0)/2,0)</f>
        <v/>
      </c>
      <c r="E32" s="6" t="inlineStr">
        <is>
          <t>arredondado para cima em R$ 0,50</t>
        </is>
      </c>
    </row>
    <row r="33">
      <c r="A33" s="4" t="inlineStr">
        <is>
          <t>Lucro por unidade no preço sugerido</t>
        </is>
      </c>
      <c r="D33" s="17">
        <f>D32*(1-'Custos do mês'!B17)-D29</f>
        <v/>
      </c>
    </row>
    <row r="34">
      <c r="A34" s="4" t="inlineStr">
        <is>
          <t>Preço sugerido no aplicativo de delivery</t>
        </is>
      </c>
      <c r="D34" s="17">
        <f>IF('Custos do mês'!B18=0,"",IFERROR(ROUNDUP(D29/(1-'Custos do mês'!B18-'Custos do mês'!B17-'Custos do mês'!B19)*2,0)/2,0))</f>
        <v/>
      </c>
    </row>
    <row r="36">
      <c r="A36" s="4" t="inlineStr">
        <is>
          <t>Preço que você cobra hoje (opcional)</t>
        </is>
      </c>
      <c r="B36" s="5" t="n"/>
    </row>
    <row r="37">
      <c r="A37" s="4" t="inlineStr">
        <is>
          <t>Quanto sobra por unidade no preço de hoje</t>
        </is>
      </c>
      <c r="D37" s="17">
        <f>IF(B36="","",B36*(1-'Custos do mês'!B17)-D29)</f>
        <v/>
      </c>
      <c r="E37" s="6" t="inlineStr">
        <is>
          <t>se der negativo, o preço de hoje não cobre o custo real</t>
        </is>
      </c>
    </row>
  </sheetData>
  <mergeCells count="1">
    <mergeCell ref="B2:D2"/>
  </mergeCells>
  <conditionalFormatting sqref="D8:D22">
    <cfRule type="expression" priority="1" dxfId="0">
      <formula>ISTEXT(D8)</formula>
    </cfRule>
  </conditionalFormatting>
  <conditionalFormatting sqref="D37">
    <cfRule type="expression" priority="2" dxfId="0">
      <formula>AND(ISNUMBER(D37),D37&lt;0)</formula>
    </cfRule>
  </conditionalFormatting>
  <dataValidations count="1">
    <dataValidation sqref="A8 A9 A10 A11 A12 A13 A14 A15 A16 A17 A18 A19 A20 A21 A22" showDropDown="0" showInputMessage="0" showErrorMessage="0" allowBlank="1" type="list">
      <formula1>=Insumos!$A$5:$A$104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9" customWidth="1" min="4" max="4"/>
    <col width="44" customWidth="1" min="5" max="5"/>
  </cols>
  <sheetData>
    <row r="1">
      <c r="A1" s="1" t="inlineStr">
        <is>
          <t>Ficha 5 · ficha de preço</t>
        </is>
      </c>
    </row>
    <row r="2">
      <c r="A2" s="4" t="inlineStr">
        <is>
          <t>Produto</t>
        </is>
      </c>
      <c r="B2" s="12" t="n"/>
      <c r="C2" s="13" t="n"/>
      <c r="D2" s="14" t="n"/>
    </row>
    <row r="3">
      <c r="A3" s="4" t="inlineStr">
        <is>
          <t>Rendimento da receita (unidades)</t>
        </is>
      </c>
      <c r="B3" s="7" t="n"/>
    </row>
    <row r="4">
      <c r="A4" s="4" t="inlineStr">
        <is>
          <t>Tempo para fazer a receita inteira (min)</t>
        </is>
      </c>
      <c r="B4" s="7" t="n"/>
    </row>
    <row r="5">
      <c r="A5" s="4" t="inlineStr">
        <is>
          <t>Embalagem por unidade vendida</t>
        </is>
      </c>
      <c r="B5" s="5" t="n"/>
      <c r="E5" s="6" t="inlineStr">
        <is>
          <t>forminha, caixa, pote, etiqueta: some o que vai em cada unidade</t>
        </is>
      </c>
    </row>
    <row r="7">
      <c r="A7" s="2" t="inlineStr">
        <is>
          <t>Ingrediente</t>
        </is>
      </c>
      <c r="B7" s="2" t="inlineStr">
        <is>
          <t>Qtd usada</t>
        </is>
      </c>
      <c r="C7" s="2" t="inlineStr">
        <is>
          <t>Unidade</t>
        </is>
      </c>
      <c r="D7" s="2" t="inlineStr">
        <is>
          <t>Custo</t>
        </is>
      </c>
    </row>
    <row r="8">
      <c r="A8" s="10" t="n"/>
      <c r="B8" s="15" t="n"/>
      <c r="C8" s="16">
        <f>IF(A8="","",IFERROR(INDEX(Insumos!$B$5:$B$104,MATCH(A8,Insumos!$A$5:$A$104,0)),""))</f>
        <v/>
      </c>
      <c r="D8" s="17">
        <f>IF(OR(A8="",B8=""),"",IFERROR(B8*INDEX(Insumos!$E$5:$E$104,MATCH(A8,Insumos!$A$5:$A$104,0)),"preencha o preço"))</f>
        <v/>
      </c>
    </row>
    <row r="9">
      <c r="A9" s="10" t="n"/>
      <c r="B9" s="15" t="n"/>
      <c r="C9" s="16">
        <f>IF(A9="","",IFERROR(INDEX(Insumos!$B$5:$B$104,MATCH(A9,Insumos!$A$5:$A$104,0)),""))</f>
        <v/>
      </c>
      <c r="D9" s="17">
        <f>IF(OR(A9="",B9=""),"",IFERROR(B9*INDEX(Insumos!$E$5:$E$104,MATCH(A9,Insumos!$A$5:$A$104,0)),"preencha o preço"))</f>
        <v/>
      </c>
    </row>
    <row r="10">
      <c r="A10" s="10" t="n"/>
      <c r="B10" s="15" t="n"/>
      <c r="C10" s="16">
        <f>IF(A10="","",IFERROR(INDEX(Insumos!$B$5:$B$104,MATCH(A10,Insumos!$A$5:$A$104,0)),""))</f>
        <v/>
      </c>
      <c r="D10" s="17">
        <f>IF(OR(A10="",B10=""),"",IFERROR(B10*INDEX(Insumos!$E$5:$E$104,MATCH(A10,Insumos!$A$5:$A$104,0)),"preencha o preço"))</f>
        <v/>
      </c>
    </row>
    <row r="11">
      <c r="A11" s="10" t="n"/>
      <c r="B11" s="15" t="n"/>
      <c r="C11" s="16">
        <f>IF(A11="","",IFERROR(INDEX(Insumos!$B$5:$B$104,MATCH(A11,Insumos!$A$5:$A$104,0)),""))</f>
        <v/>
      </c>
      <c r="D11" s="17">
        <f>IF(OR(A11="",B11=""),"",IFERROR(B11*INDEX(Insumos!$E$5:$E$104,MATCH(A11,Insumos!$A$5:$A$104,0)),"preencha o preço"))</f>
        <v/>
      </c>
    </row>
    <row r="12">
      <c r="A12" s="10" t="n"/>
      <c r="B12" s="15" t="n"/>
      <c r="C12" s="16">
        <f>IF(A12="","",IFERROR(INDEX(Insumos!$B$5:$B$104,MATCH(A12,Insumos!$A$5:$A$104,0)),""))</f>
        <v/>
      </c>
      <c r="D12" s="17">
        <f>IF(OR(A12="",B12=""),"",IFERROR(B12*INDEX(Insumos!$E$5:$E$104,MATCH(A12,Insumos!$A$5:$A$104,0)),"preencha o preço"))</f>
        <v/>
      </c>
    </row>
    <row r="13">
      <c r="A13" s="10" t="n"/>
      <c r="B13" s="15" t="n"/>
      <c r="C13" s="16">
        <f>IF(A13="","",IFERROR(INDEX(Insumos!$B$5:$B$104,MATCH(A13,Insumos!$A$5:$A$104,0)),""))</f>
        <v/>
      </c>
      <c r="D13" s="17">
        <f>IF(OR(A13="",B13=""),"",IFERROR(B13*INDEX(Insumos!$E$5:$E$104,MATCH(A13,Insumos!$A$5:$A$104,0)),"preencha o preço"))</f>
        <v/>
      </c>
    </row>
    <row r="14">
      <c r="A14" s="10" t="n"/>
      <c r="B14" s="15" t="n"/>
      <c r="C14" s="16">
        <f>IF(A14="","",IFERROR(INDEX(Insumos!$B$5:$B$104,MATCH(A14,Insumos!$A$5:$A$104,0)),""))</f>
        <v/>
      </c>
      <c r="D14" s="17">
        <f>IF(OR(A14="",B14=""),"",IFERROR(B14*INDEX(Insumos!$E$5:$E$104,MATCH(A14,Insumos!$A$5:$A$104,0)),"preencha o preço"))</f>
        <v/>
      </c>
    </row>
    <row r="15">
      <c r="A15" s="10" t="n"/>
      <c r="B15" s="15" t="n"/>
      <c r="C15" s="16">
        <f>IF(A15="","",IFERROR(INDEX(Insumos!$B$5:$B$104,MATCH(A15,Insumos!$A$5:$A$104,0)),""))</f>
        <v/>
      </c>
      <c r="D15" s="17">
        <f>IF(OR(A15="",B15=""),"",IFERROR(B15*INDEX(Insumos!$E$5:$E$104,MATCH(A15,Insumos!$A$5:$A$104,0)),"preencha o preço"))</f>
        <v/>
      </c>
    </row>
    <row r="16">
      <c r="A16" s="10" t="n"/>
      <c r="B16" s="15" t="n"/>
      <c r="C16" s="16">
        <f>IF(A16="","",IFERROR(INDEX(Insumos!$B$5:$B$104,MATCH(A16,Insumos!$A$5:$A$104,0)),""))</f>
        <v/>
      </c>
      <c r="D16" s="17">
        <f>IF(OR(A16="",B16=""),"",IFERROR(B16*INDEX(Insumos!$E$5:$E$104,MATCH(A16,Insumos!$A$5:$A$104,0)),"preencha o preço"))</f>
        <v/>
      </c>
    </row>
    <row r="17">
      <c r="A17" s="10" t="n"/>
      <c r="B17" s="15" t="n"/>
      <c r="C17" s="16">
        <f>IF(A17="","",IFERROR(INDEX(Insumos!$B$5:$B$104,MATCH(A17,Insumos!$A$5:$A$104,0)),""))</f>
        <v/>
      </c>
      <c r="D17" s="17">
        <f>IF(OR(A17="",B17=""),"",IFERROR(B17*INDEX(Insumos!$E$5:$E$104,MATCH(A17,Insumos!$A$5:$A$104,0)),"preencha o preço"))</f>
        <v/>
      </c>
    </row>
    <row r="18">
      <c r="A18" s="10" t="n"/>
      <c r="B18" s="15" t="n"/>
      <c r="C18" s="16">
        <f>IF(A18="","",IFERROR(INDEX(Insumos!$B$5:$B$104,MATCH(A18,Insumos!$A$5:$A$104,0)),""))</f>
        <v/>
      </c>
      <c r="D18" s="17">
        <f>IF(OR(A18="",B18=""),"",IFERROR(B18*INDEX(Insumos!$E$5:$E$104,MATCH(A18,Insumos!$A$5:$A$104,0)),"preencha o preço"))</f>
        <v/>
      </c>
    </row>
    <row r="19">
      <c r="A19" s="10" t="n"/>
      <c r="B19" s="15" t="n"/>
      <c r="C19" s="16">
        <f>IF(A19="","",IFERROR(INDEX(Insumos!$B$5:$B$104,MATCH(A19,Insumos!$A$5:$A$104,0)),""))</f>
        <v/>
      </c>
      <c r="D19" s="17">
        <f>IF(OR(A19="",B19=""),"",IFERROR(B19*INDEX(Insumos!$E$5:$E$104,MATCH(A19,Insumos!$A$5:$A$104,0)),"preencha o preço"))</f>
        <v/>
      </c>
    </row>
    <row r="20">
      <c r="A20" s="10" t="n"/>
      <c r="B20" s="15" t="n"/>
      <c r="C20" s="16">
        <f>IF(A20="","",IFERROR(INDEX(Insumos!$B$5:$B$104,MATCH(A20,Insumos!$A$5:$A$104,0)),""))</f>
        <v/>
      </c>
      <c r="D20" s="17">
        <f>IF(OR(A20="",B20=""),"",IFERROR(B20*INDEX(Insumos!$E$5:$E$104,MATCH(A20,Insumos!$A$5:$A$104,0)),"preencha o preço"))</f>
        <v/>
      </c>
    </row>
    <row r="21">
      <c r="A21" s="10" t="n"/>
      <c r="B21" s="15" t="n"/>
      <c r="C21" s="16">
        <f>IF(A21="","",IFERROR(INDEX(Insumos!$B$5:$B$104,MATCH(A21,Insumos!$A$5:$A$104,0)),""))</f>
        <v/>
      </c>
      <c r="D21" s="17">
        <f>IF(OR(A21="",B21=""),"",IFERROR(B21*INDEX(Insumos!$E$5:$E$104,MATCH(A21,Insumos!$A$5:$A$104,0)),"preencha o preço"))</f>
        <v/>
      </c>
    </row>
    <row r="22">
      <c r="A22" s="10" t="n"/>
      <c r="B22" s="15" t="n"/>
      <c r="C22" s="16">
        <f>IF(A22="","",IFERROR(INDEX(Insumos!$B$5:$B$104,MATCH(A22,Insumos!$A$5:$A$104,0)),""))</f>
        <v/>
      </c>
      <c r="D22" s="17">
        <f>IF(OR(A22="",B22=""),"",IFERROR(B22*INDEX(Insumos!$E$5:$E$104,MATCH(A22,Insumos!$A$5:$A$104,0)),"preencha o preço"))</f>
        <v/>
      </c>
    </row>
    <row r="23">
      <c r="A23" s="2" t="inlineStr">
        <is>
          <t>Ingredientes da receita</t>
        </is>
      </c>
      <c r="D23" s="8">
        <f>SUM(D8:D22)</f>
        <v/>
      </c>
    </row>
    <row r="25">
      <c r="A25" s="4" t="inlineStr">
        <is>
          <t>Ingredientes por unidade</t>
        </is>
      </c>
      <c r="D25" s="17">
        <f>IFERROR(D23/B3,0)</f>
        <v/>
      </c>
    </row>
    <row r="26">
      <c r="A26" s="4" t="inlineStr">
        <is>
          <t>Embalagem por unidade</t>
        </is>
      </c>
      <c r="D26" s="17">
        <f>N(B5)</f>
        <v/>
      </c>
    </row>
    <row r="27">
      <c r="A27" s="4" t="inlineStr">
        <is>
          <t>Seu trabalho por unidade</t>
        </is>
      </c>
      <c r="D27" s="17">
        <f>IFERROR(B4/60*'Custos do mês'!B5/B3,0)</f>
        <v/>
      </c>
    </row>
    <row r="28">
      <c r="A28" s="4" t="inlineStr">
        <is>
          <t>Gastos fixos por unidade</t>
        </is>
      </c>
      <c r="D28" s="17">
        <f>IFERROR(B4/60*'Custos do mês'!B15/B3,0)</f>
        <v/>
      </c>
    </row>
    <row r="29">
      <c r="A29" s="2" t="inlineStr">
        <is>
          <t>CUSTO REAL POR UNIDADE</t>
        </is>
      </c>
      <c r="D29" s="8">
        <f>SUM(D25:D28)</f>
        <v/>
      </c>
    </row>
    <row r="31">
      <c r="A31" s="4" t="inlineStr">
        <is>
          <t>Preço mínimo (sem lucro, já com a taxa)</t>
        </is>
      </c>
      <c r="D31" s="17">
        <f>IFERROR(ROUNDUP(D29/(1-'Custos do mês'!B17)*2,0)/2,0)</f>
        <v/>
      </c>
      <c r="E31" s="6" t="inlineStr">
        <is>
          <t>abaixo disso você paga para trabalhar</t>
        </is>
      </c>
    </row>
    <row r="32">
      <c r="A32" s="2" t="inlineStr">
        <is>
          <t>PREÇO SUGERIDO (encomenda)</t>
        </is>
      </c>
      <c r="D32" s="8">
        <f>IFERROR(ROUNDUP(D29/(1-'Custos do mês'!B17-'Custos do mês'!B19)*2,0)/2,0)</f>
        <v/>
      </c>
      <c r="E32" s="6" t="inlineStr">
        <is>
          <t>arredondado para cima em R$ 0,50</t>
        </is>
      </c>
    </row>
    <row r="33">
      <c r="A33" s="4" t="inlineStr">
        <is>
          <t>Lucro por unidade no preço sugerido</t>
        </is>
      </c>
      <c r="D33" s="17">
        <f>D32*(1-'Custos do mês'!B17)-D29</f>
        <v/>
      </c>
    </row>
    <row r="34">
      <c r="A34" s="4" t="inlineStr">
        <is>
          <t>Preço sugerido no aplicativo de delivery</t>
        </is>
      </c>
      <c r="D34" s="17">
        <f>IF('Custos do mês'!B18=0,"",IFERROR(ROUNDUP(D29/(1-'Custos do mês'!B18-'Custos do mês'!B17-'Custos do mês'!B19)*2,0)/2,0))</f>
        <v/>
      </c>
    </row>
    <row r="36">
      <c r="A36" s="4" t="inlineStr">
        <is>
          <t>Preço que você cobra hoje (opcional)</t>
        </is>
      </c>
      <c r="B36" s="5" t="n"/>
    </row>
    <row r="37">
      <c r="A37" s="4" t="inlineStr">
        <is>
          <t>Quanto sobra por unidade no preço de hoje</t>
        </is>
      </c>
      <c r="D37" s="17">
        <f>IF(B36="","",B36*(1-'Custos do mês'!B17)-D29)</f>
        <v/>
      </c>
      <c r="E37" s="6" t="inlineStr">
        <is>
          <t>se der negativo, o preço de hoje não cobre o custo real</t>
        </is>
      </c>
    </row>
  </sheetData>
  <mergeCells count="1">
    <mergeCell ref="B2:D2"/>
  </mergeCells>
  <conditionalFormatting sqref="D8:D22">
    <cfRule type="expression" priority="1" dxfId="0">
      <formula>ISTEXT(D8)</formula>
    </cfRule>
  </conditionalFormatting>
  <conditionalFormatting sqref="D37">
    <cfRule type="expression" priority="2" dxfId="0">
      <formula>AND(ISNUMBER(D37),D37&lt;0)</formula>
    </cfRule>
  </conditionalFormatting>
  <dataValidations count="1">
    <dataValidation sqref="A8 A9 A10 A11 A12 A13 A14 A15 A16 A17 A18 A19 A20 A21 A22" showDropDown="0" showInputMessage="0" showErrorMessage="0" allowBlank="1" type="list">
      <formula1>=Insumos!$A$5:$A$104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19" customWidth="1" min="4" max="4"/>
    <col width="44" customWidth="1" min="5" max="5"/>
  </cols>
  <sheetData>
    <row r="1">
      <c r="A1" s="1" t="inlineStr">
        <is>
          <t>Ficha 6 · ficha de preço</t>
        </is>
      </c>
    </row>
    <row r="2">
      <c r="A2" s="4" t="inlineStr">
        <is>
          <t>Produto</t>
        </is>
      </c>
      <c r="B2" s="12" t="n"/>
      <c r="C2" s="13" t="n"/>
      <c r="D2" s="14" t="n"/>
    </row>
    <row r="3">
      <c r="A3" s="4" t="inlineStr">
        <is>
          <t>Rendimento da receita (unidades)</t>
        </is>
      </c>
      <c r="B3" s="7" t="n"/>
    </row>
    <row r="4">
      <c r="A4" s="4" t="inlineStr">
        <is>
          <t>Tempo para fazer a receita inteira (min)</t>
        </is>
      </c>
      <c r="B4" s="7" t="n"/>
    </row>
    <row r="5">
      <c r="A5" s="4" t="inlineStr">
        <is>
          <t>Embalagem por unidade vendida</t>
        </is>
      </c>
      <c r="B5" s="5" t="n"/>
      <c r="E5" s="6" t="inlineStr">
        <is>
          <t>forminha, caixa, pote, etiqueta: some o que vai em cada unidade</t>
        </is>
      </c>
    </row>
    <row r="7">
      <c r="A7" s="2" t="inlineStr">
        <is>
          <t>Ingrediente</t>
        </is>
      </c>
      <c r="B7" s="2" t="inlineStr">
        <is>
          <t>Qtd usada</t>
        </is>
      </c>
      <c r="C7" s="2" t="inlineStr">
        <is>
          <t>Unidade</t>
        </is>
      </c>
      <c r="D7" s="2" t="inlineStr">
        <is>
          <t>Custo</t>
        </is>
      </c>
    </row>
    <row r="8">
      <c r="A8" s="10" t="n"/>
      <c r="B8" s="15" t="n"/>
      <c r="C8" s="16">
        <f>IF(A8="","",IFERROR(INDEX(Insumos!$B$5:$B$104,MATCH(A8,Insumos!$A$5:$A$104,0)),""))</f>
        <v/>
      </c>
      <c r="D8" s="17">
        <f>IF(OR(A8="",B8=""),"",IFERROR(B8*INDEX(Insumos!$E$5:$E$104,MATCH(A8,Insumos!$A$5:$A$104,0)),"preencha o preço"))</f>
        <v/>
      </c>
    </row>
    <row r="9">
      <c r="A9" s="10" t="n"/>
      <c r="B9" s="15" t="n"/>
      <c r="C9" s="16">
        <f>IF(A9="","",IFERROR(INDEX(Insumos!$B$5:$B$104,MATCH(A9,Insumos!$A$5:$A$104,0)),""))</f>
        <v/>
      </c>
      <c r="D9" s="17">
        <f>IF(OR(A9="",B9=""),"",IFERROR(B9*INDEX(Insumos!$E$5:$E$104,MATCH(A9,Insumos!$A$5:$A$104,0)),"preencha o preço"))</f>
        <v/>
      </c>
    </row>
    <row r="10">
      <c r="A10" s="10" t="n"/>
      <c r="B10" s="15" t="n"/>
      <c r="C10" s="16">
        <f>IF(A10="","",IFERROR(INDEX(Insumos!$B$5:$B$104,MATCH(A10,Insumos!$A$5:$A$104,0)),""))</f>
        <v/>
      </c>
      <c r="D10" s="17">
        <f>IF(OR(A10="",B10=""),"",IFERROR(B10*INDEX(Insumos!$E$5:$E$104,MATCH(A10,Insumos!$A$5:$A$104,0)),"preencha o preço"))</f>
        <v/>
      </c>
    </row>
    <row r="11">
      <c r="A11" s="10" t="n"/>
      <c r="B11" s="15" t="n"/>
      <c r="C11" s="16">
        <f>IF(A11="","",IFERROR(INDEX(Insumos!$B$5:$B$104,MATCH(A11,Insumos!$A$5:$A$104,0)),""))</f>
        <v/>
      </c>
      <c r="D11" s="17">
        <f>IF(OR(A11="",B11=""),"",IFERROR(B11*INDEX(Insumos!$E$5:$E$104,MATCH(A11,Insumos!$A$5:$A$104,0)),"preencha o preço"))</f>
        <v/>
      </c>
    </row>
    <row r="12">
      <c r="A12" s="10" t="n"/>
      <c r="B12" s="15" t="n"/>
      <c r="C12" s="16">
        <f>IF(A12="","",IFERROR(INDEX(Insumos!$B$5:$B$104,MATCH(A12,Insumos!$A$5:$A$104,0)),""))</f>
        <v/>
      </c>
      <c r="D12" s="17">
        <f>IF(OR(A12="",B12=""),"",IFERROR(B12*INDEX(Insumos!$E$5:$E$104,MATCH(A12,Insumos!$A$5:$A$104,0)),"preencha o preço"))</f>
        <v/>
      </c>
    </row>
    <row r="13">
      <c r="A13" s="10" t="n"/>
      <c r="B13" s="15" t="n"/>
      <c r="C13" s="16">
        <f>IF(A13="","",IFERROR(INDEX(Insumos!$B$5:$B$104,MATCH(A13,Insumos!$A$5:$A$104,0)),""))</f>
        <v/>
      </c>
      <c r="D13" s="17">
        <f>IF(OR(A13="",B13=""),"",IFERROR(B13*INDEX(Insumos!$E$5:$E$104,MATCH(A13,Insumos!$A$5:$A$104,0)),"preencha o preço"))</f>
        <v/>
      </c>
    </row>
    <row r="14">
      <c r="A14" s="10" t="n"/>
      <c r="B14" s="15" t="n"/>
      <c r="C14" s="16">
        <f>IF(A14="","",IFERROR(INDEX(Insumos!$B$5:$B$104,MATCH(A14,Insumos!$A$5:$A$104,0)),""))</f>
        <v/>
      </c>
      <c r="D14" s="17">
        <f>IF(OR(A14="",B14=""),"",IFERROR(B14*INDEX(Insumos!$E$5:$E$104,MATCH(A14,Insumos!$A$5:$A$104,0)),"preencha o preço"))</f>
        <v/>
      </c>
    </row>
    <row r="15">
      <c r="A15" s="10" t="n"/>
      <c r="B15" s="15" t="n"/>
      <c r="C15" s="16">
        <f>IF(A15="","",IFERROR(INDEX(Insumos!$B$5:$B$104,MATCH(A15,Insumos!$A$5:$A$104,0)),""))</f>
        <v/>
      </c>
      <c r="D15" s="17">
        <f>IF(OR(A15="",B15=""),"",IFERROR(B15*INDEX(Insumos!$E$5:$E$104,MATCH(A15,Insumos!$A$5:$A$104,0)),"preencha o preço"))</f>
        <v/>
      </c>
    </row>
    <row r="16">
      <c r="A16" s="10" t="n"/>
      <c r="B16" s="15" t="n"/>
      <c r="C16" s="16">
        <f>IF(A16="","",IFERROR(INDEX(Insumos!$B$5:$B$104,MATCH(A16,Insumos!$A$5:$A$104,0)),""))</f>
        <v/>
      </c>
      <c r="D16" s="17">
        <f>IF(OR(A16="",B16=""),"",IFERROR(B16*INDEX(Insumos!$E$5:$E$104,MATCH(A16,Insumos!$A$5:$A$104,0)),"preencha o preço"))</f>
        <v/>
      </c>
    </row>
    <row r="17">
      <c r="A17" s="10" t="n"/>
      <c r="B17" s="15" t="n"/>
      <c r="C17" s="16">
        <f>IF(A17="","",IFERROR(INDEX(Insumos!$B$5:$B$104,MATCH(A17,Insumos!$A$5:$A$104,0)),""))</f>
        <v/>
      </c>
      <c r="D17" s="17">
        <f>IF(OR(A17="",B17=""),"",IFERROR(B17*INDEX(Insumos!$E$5:$E$104,MATCH(A17,Insumos!$A$5:$A$104,0)),"preencha o preço"))</f>
        <v/>
      </c>
    </row>
    <row r="18">
      <c r="A18" s="10" t="n"/>
      <c r="B18" s="15" t="n"/>
      <c r="C18" s="16">
        <f>IF(A18="","",IFERROR(INDEX(Insumos!$B$5:$B$104,MATCH(A18,Insumos!$A$5:$A$104,0)),""))</f>
        <v/>
      </c>
      <c r="D18" s="17">
        <f>IF(OR(A18="",B18=""),"",IFERROR(B18*INDEX(Insumos!$E$5:$E$104,MATCH(A18,Insumos!$A$5:$A$104,0)),"preencha o preço"))</f>
        <v/>
      </c>
    </row>
    <row r="19">
      <c r="A19" s="10" t="n"/>
      <c r="B19" s="15" t="n"/>
      <c r="C19" s="16">
        <f>IF(A19="","",IFERROR(INDEX(Insumos!$B$5:$B$104,MATCH(A19,Insumos!$A$5:$A$104,0)),""))</f>
        <v/>
      </c>
      <c r="D19" s="17">
        <f>IF(OR(A19="",B19=""),"",IFERROR(B19*INDEX(Insumos!$E$5:$E$104,MATCH(A19,Insumos!$A$5:$A$104,0)),"preencha o preço"))</f>
        <v/>
      </c>
    </row>
    <row r="20">
      <c r="A20" s="10" t="n"/>
      <c r="B20" s="15" t="n"/>
      <c r="C20" s="16">
        <f>IF(A20="","",IFERROR(INDEX(Insumos!$B$5:$B$104,MATCH(A20,Insumos!$A$5:$A$104,0)),""))</f>
        <v/>
      </c>
      <c r="D20" s="17">
        <f>IF(OR(A20="",B20=""),"",IFERROR(B20*INDEX(Insumos!$E$5:$E$104,MATCH(A20,Insumos!$A$5:$A$104,0)),"preencha o preço"))</f>
        <v/>
      </c>
    </row>
    <row r="21">
      <c r="A21" s="10" t="n"/>
      <c r="B21" s="15" t="n"/>
      <c r="C21" s="16">
        <f>IF(A21="","",IFERROR(INDEX(Insumos!$B$5:$B$104,MATCH(A21,Insumos!$A$5:$A$104,0)),""))</f>
        <v/>
      </c>
      <c r="D21" s="17">
        <f>IF(OR(A21="",B21=""),"",IFERROR(B21*INDEX(Insumos!$E$5:$E$104,MATCH(A21,Insumos!$A$5:$A$104,0)),"preencha o preço"))</f>
        <v/>
      </c>
    </row>
    <row r="22">
      <c r="A22" s="10" t="n"/>
      <c r="B22" s="15" t="n"/>
      <c r="C22" s="16">
        <f>IF(A22="","",IFERROR(INDEX(Insumos!$B$5:$B$104,MATCH(A22,Insumos!$A$5:$A$104,0)),""))</f>
        <v/>
      </c>
      <c r="D22" s="17">
        <f>IF(OR(A22="",B22=""),"",IFERROR(B22*INDEX(Insumos!$E$5:$E$104,MATCH(A22,Insumos!$A$5:$A$104,0)),"preencha o preço"))</f>
        <v/>
      </c>
    </row>
    <row r="23">
      <c r="A23" s="2" t="inlineStr">
        <is>
          <t>Ingredientes da receita</t>
        </is>
      </c>
      <c r="D23" s="8">
        <f>SUM(D8:D22)</f>
        <v/>
      </c>
    </row>
    <row r="25">
      <c r="A25" s="4" t="inlineStr">
        <is>
          <t>Ingredientes por unidade</t>
        </is>
      </c>
      <c r="D25" s="17">
        <f>IFERROR(D23/B3,0)</f>
        <v/>
      </c>
    </row>
    <row r="26">
      <c r="A26" s="4" t="inlineStr">
        <is>
          <t>Embalagem por unidade</t>
        </is>
      </c>
      <c r="D26" s="17">
        <f>N(B5)</f>
        <v/>
      </c>
    </row>
    <row r="27">
      <c r="A27" s="4" t="inlineStr">
        <is>
          <t>Seu trabalho por unidade</t>
        </is>
      </c>
      <c r="D27" s="17">
        <f>IFERROR(B4/60*'Custos do mês'!B5/B3,0)</f>
        <v/>
      </c>
    </row>
    <row r="28">
      <c r="A28" s="4" t="inlineStr">
        <is>
          <t>Gastos fixos por unidade</t>
        </is>
      </c>
      <c r="D28" s="17">
        <f>IFERROR(B4/60*'Custos do mês'!B15/B3,0)</f>
        <v/>
      </c>
    </row>
    <row r="29">
      <c r="A29" s="2" t="inlineStr">
        <is>
          <t>CUSTO REAL POR UNIDADE</t>
        </is>
      </c>
      <c r="D29" s="8">
        <f>SUM(D25:D28)</f>
        <v/>
      </c>
    </row>
    <row r="31">
      <c r="A31" s="4" t="inlineStr">
        <is>
          <t>Preço mínimo (sem lucro, já com a taxa)</t>
        </is>
      </c>
      <c r="D31" s="17">
        <f>IFERROR(ROUNDUP(D29/(1-'Custos do mês'!B17)*2,0)/2,0)</f>
        <v/>
      </c>
      <c r="E31" s="6" t="inlineStr">
        <is>
          <t>abaixo disso você paga para trabalhar</t>
        </is>
      </c>
    </row>
    <row r="32">
      <c r="A32" s="2" t="inlineStr">
        <is>
          <t>PREÇO SUGERIDO (encomenda)</t>
        </is>
      </c>
      <c r="D32" s="8">
        <f>IFERROR(ROUNDUP(D29/(1-'Custos do mês'!B17-'Custos do mês'!B19)*2,0)/2,0)</f>
        <v/>
      </c>
      <c r="E32" s="6" t="inlineStr">
        <is>
          <t>arredondado para cima em R$ 0,50</t>
        </is>
      </c>
    </row>
    <row r="33">
      <c r="A33" s="4" t="inlineStr">
        <is>
          <t>Lucro por unidade no preço sugerido</t>
        </is>
      </c>
      <c r="D33" s="17">
        <f>D32*(1-'Custos do mês'!B17)-D29</f>
        <v/>
      </c>
    </row>
    <row r="34">
      <c r="A34" s="4" t="inlineStr">
        <is>
          <t>Preço sugerido no aplicativo de delivery</t>
        </is>
      </c>
      <c r="D34" s="17">
        <f>IF('Custos do mês'!B18=0,"",IFERROR(ROUNDUP(D29/(1-'Custos do mês'!B18-'Custos do mês'!B17-'Custos do mês'!B19)*2,0)/2,0))</f>
        <v/>
      </c>
    </row>
    <row r="36">
      <c r="A36" s="4" t="inlineStr">
        <is>
          <t>Preço que você cobra hoje (opcional)</t>
        </is>
      </c>
      <c r="B36" s="5" t="n"/>
    </row>
    <row r="37">
      <c r="A37" s="4" t="inlineStr">
        <is>
          <t>Quanto sobra por unidade no preço de hoje</t>
        </is>
      </c>
      <c r="D37" s="17">
        <f>IF(B36="","",B36*(1-'Custos do mês'!B17)-D29)</f>
        <v/>
      </c>
      <c r="E37" s="6" t="inlineStr">
        <is>
          <t>se der negativo, o preço de hoje não cobre o custo real</t>
        </is>
      </c>
    </row>
  </sheetData>
  <mergeCells count="1">
    <mergeCell ref="B2:D2"/>
  </mergeCells>
  <conditionalFormatting sqref="D8:D22">
    <cfRule type="expression" priority="1" dxfId="0">
      <formula>ISTEXT(D8)</formula>
    </cfRule>
  </conditionalFormatting>
  <conditionalFormatting sqref="D37">
    <cfRule type="expression" priority="2" dxfId="0">
      <formula>AND(ISNUMBER(D37),D37&lt;0)</formula>
    </cfRule>
  </conditionalFormatting>
  <dataValidations count="1">
    <dataValidation sqref="A8 A9 A10 A11 A12 A13 A14 A15 A16 A17 A18 A19 A20 A21 A22" showDropDown="0" showInputMessage="0" showErrorMessage="0" allowBlank="1" type="list">
      <formula1>=Insumos!$A$5:$A$104</formula1>
    </dataValidation>
  </dataValidation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Tabela de preços para copiar</t>
        </is>
      </c>
    </row>
    <row r="2">
      <c r="A2" s="6" t="inlineStr">
        <is>
          <t>Copie a coluna D e cole no WhatsApp ou no seu cardápio.</t>
        </is>
      </c>
    </row>
    <row r="4">
      <c r="A4" s="2" t="inlineStr">
        <is>
          <t>Produto</t>
        </is>
      </c>
      <c r="B4" s="2" t="inlineStr">
        <is>
          <t>Encomenda</t>
        </is>
      </c>
      <c r="C4" s="2" t="inlineStr">
        <is>
          <t>App</t>
        </is>
      </c>
      <c r="D4" s="2" t="inlineStr">
        <is>
          <t>Linha pronta</t>
        </is>
      </c>
    </row>
    <row r="5">
      <c r="A5" s="4">
        <f>IF('Ficha 1'!B2="","",'Ficha 1'!B2)</f>
        <v/>
      </c>
      <c r="B5" s="18">
        <f>IF('Ficha 1'!B2="","",'Ficha 1'!D32)</f>
        <v/>
      </c>
      <c r="C5" s="18">
        <f>IF(OR('Ficha 1'!B2="",'Ficha 1'!D34=""),"",'Ficha 1'!D34)</f>
        <v/>
      </c>
      <c r="D5" s="4">
        <f>IF('Ficha 1'!B2="","",'Ficha 1'!B2&amp;": R$ "&amp;FIXED('Ficha 1'!D32,2))</f>
        <v/>
      </c>
    </row>
    <row r="6">
      <c r="A6" s="4">
        <f>IF('Ficha 2'!B2="","",'Ficha 2'!B2)</f>
        <v/>
      </c>
      <c r="B6" s="18">
        <f>IF('Ficha 2'!B2="","",'Ficha 2'!D32)</f>
        <v/>
      </c>
      <c r="C6" s="18">
        <f>IF(OR('Ficha 2'!B2="",'Ficha 2'!D34=""),"",'Ficha 2'!D34)</f>
        <v/>
      </c>
      <c r="D6" s="4">
        <f>IF('Ficha 2'!B2="","",'Ficha 2'!B2&amp;": R$ "&amp;FIXED('Ficha 2'!D32,2))</f>
        <v/>
      </c>
    </row>
    <row r="7">
      <c r="A7" s="4">
        <f>IF('Ficha 3'!B2="","",'Ficha 3'!B2)</f>
        <v/>
      </c>
      <c r="B7" s="18">
        <f>IF('Ficha 3'!B2="","",'Ficha 3'!D32)</f>
        <v/>
      </c>
      <c r="C7" s="18">
        <f>IF(OR('Ficha 3'!B2="",'Ficha 3'!D34=""),"",'Ficha 3'!D34)</f>
        <v/>
      </c>
      <c r="D7" s="4">
        <f>IF('Ficha 3'!B2="","",'Ficha 3'!B2&amp;": R$ "&amp;FIXED('Ficha 3'!D32,2))</f>
        <v/>
      </c>
    </row>
    <row r="8">
      <c r="A8" s="4">
        <f>IF('Ficha 4'!B2="","",'Ficha 4'!B2)</f>
        <v/>
      </c>
      <c r="B8" s="18">
        <f>IF('Ficha 4'!B2="","",'Ficha 4'!D32)</f>
        <v/>
      </c>
      <c r="C8" s="18">
        <f>IF(OR('Ficha 4'!B2="",'Ficha 4'!D34=""),"",'Ficha 4'!D34)</f>
        <v/>
      </c>
      <c r="D8" s="4">
        <f>IF('Ficha 4'!B2="","",'Ficha 4'!B2&amp;": R$ "&amp;FIXED('Ficha 4'!D32,2))</f>
        <v/>
      </c>
    </row>
    <row r="9">
      <c r="A9" s="4">
        <f>IF('Ficha 5'!B2="","",'Ficha 5'!B2)</f>
        <v/>
      </c>
      <c r="B9" s="18">
        <f>IF('Ficha 5'!B2="","",'Ficha 5'!D32)</f>
        <v/>
      </c>
      <c r="C9" s="18">
        <f>IF(OR('Ficha 5'!B2="",'Ficha 5'!D34=""),"",'Ficha 5'!D34)</f>
        <v/>
      </c>
      <c r="D9" s="4">
        <f>IF('Ficha 5'!B2="","",'Ficha 5'!B2&amp;": R$ "&amp;FIXED('Ficha 5'!D32,2))</f>
        <v/>
      </c>
    </row>
    <row r="10">
      <c r="A10" s="4">
        <f>IF('Ficha 6'!B2="","",'Ficha 6'!B2)</f>
        <v/>
      </c>
      <c r="B10" s="18">
        <f>IF('Ficha 6'!B2="","",'Ficha 6'!D32)</f>
        <v/>
      </c>
      <c r="C10" s="18">
        <f>IF(OR('Ficha 6'!B2="",'Ficha 6'!D34=""),"",'Ficha 6'!D34)</f>
        <v/>
      </c>
      <c r="D10" s="4">
        <f>IF('Ficha 6'!B2="","",'Ficha 6'!B2&amp;": R$ "&amp;FIXED('Ficha 6'!D32,2))</f>
        <v/>
      </c>
    </row>
  </sheetData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Exemplo: brigadeiro tradicional</t>
        </is>
      </c>
    </row>
    <row r="2">
      <c r="A2" s="19" t="inlineStr">
        <is>
          <t>VALORES DE EXEMPLO para mostrar o cálculo. Não são preços de mercado nem da sua região.</t>
        </is>
      </c>
    </row>
    <row r="4">
      <c r="A4" s="2" t="inlineStr">
        <is>
          <t>Ingrediente</t>
        </is>
      </c>
      <c r="B4" s="2" t="inlineStr">
        <is>
          <t>Qtd embalagem</t>
        </is>
      </c>
      <c r="C4" s="2" t="inlineStr">
        <is>
          <t>Preço exemplo</t>
        </is>
      </c>
      <c r="D4" s="2" t="inlineStr">
        <is>
          <t>Qtd usada</t>
        </is>
      </c>
      <c r="E4" s="2" t="inlineStr">
        <is>
          <t>Custo</t>
        </is>
      </c>
    </row>
    <row r="5">
      <c r="A5" s="4" t="inlineStr">
        <is>
          <t>Leite condensado (g)</t>
        </is>
      </c>
      <c r="B5" s="4" t="n">
        <v>395</v>
      </c>
      <c r="C5" s="18" t="n">
        <v>7</v>
      </c>
      <c r="D5" s="4" t="n">
        <v>790</v>
      </c>
      <c r="E5" s="17">
        <f>C5/B5*D5</f>
        <v/>
      </c>
    </row>
    <row r="6">
      <c r="A6" s="4" t="inlineStr">
        <is>
          <t>Manteiga (g)</t>
        </is>
      </c>
      <c r="B6" s="4" t="n">
        <v>200</v>
      </c>
      <c r="C6" s="18" t="n">
        <v>9</v>
      </c>
      <c r="D6" s="4" t="n">
        <v>20</v>
      </c>
      <c r="E6" s="17">
        <f>C6/B6*D6</f>
        <v/>
      </c>
    </row>
    <row r="7">
      <c r="A7" s="4" t="inlineStr">
        <is>
          <t>Chocolate em pó 50% (g)</t>
        </is>
      </c>
      <c r="B7" s="4" t="n">
        <v>200</v>
      </c>
      <c r="C7" s="18" t="n">
        <v>8</v>
      </c>
      <c r="D7" s="4" t="n">
        <v>40</v>
      </c>
      <c r="E7" s="17">
        <f>C7/B7*D7</f>
        <v/>
      </c>
    </row>
    <row r="8">
      <c r="A8" s="4" t="inlineStr">
        <is>
          <t>Granulado (g)</t>
        </is>
      </c>
      <c r="B8" s="4" t="n">
        <v>500</v>
      </c>
      <c r="C8" s="18" t="n">
        <v>12</v>
      </c>
      <c r="D8" s="4" t="n">
        <v>120</v>
      </c>
      <c r="E8" s="17">
        <f>C8/B8*D8</f>
        <v/>
      </c>
    </row>
    <row r="9">
      <c r="A9" s="4" t="inlineStr">
        <is>
          <t>Forminha nº 4 (un)</t>
        </is>
      </c>
      <c r="B9" s="4" t="n">
        <v>100</v>
      </c>
      <c r="C9" s="18" t="n">
        <v>6</v>
      </c>
      <c r="D9" s="4" t="n">
        <v>50</v>
      </c>
      <c r="E9" s="17">
        <f>C9/B9*D9</f>
        <v/>
      </c>
    </row>
    <row r="11">
      <c r="A11" s="4" t="inlineStr">
        <is>
          <t>Rendimento (unidades)</t>
        </is>
      </c>
      <c r="B11" s="20" t="n">
        <v>50</v>
      </c>
    </row>
    <row r="12">
      <c r="A12" s="4" t="inlineStr">
        <is>
          <t>Tempo da receita (min)</t>
        </is>
      </c>
      <c r="B12" s="20" t="n">
        <v>90</v>
      </c>
    </row>
    <row r="13">
      <c r="A13" s="4" t="inlineStr">
        <is>
          <t>Valor da hora (exemplo)</t>
        </is>
      </c>
      <c r="B13" s="18" t="n">
        <v>16.67</v>
      </c>
    </row>
    <row r="14">
      <c r="A14" s="4" t="inlineStr">
        <is>
          <t>Gasto fixo por hora (exemplo)</t>
        </is>
      </c>
      <c r="B14" s="18" t="n">
        <v>3</v>
      </c>
    </row>
    <row r="15">
      <c r="A15" s="4" t="inlineStr">
        <is>
          <t>Taxa do pagamento (exemplo)</t>
        </is>
      </c>
      <c r="B15" s="21" t="n">
        <v>0.04</v>
      </c>
    </row>
    <row r="16">
      <c r="A16" s="4" t="inlineStr">
        <is>
          <t>Margem desejada (exemplo)</t>
        </is>
      </c>
      <c r="B16" s="21" t="n">
        <v>0.3</v>
      </c>
    </row>
    <row r="18">
      <c r="A18" s="4" t="inlineStr">
        <is>
          <t>Ingredientes e forminha por unidade</t>
        </is>
      </c>
      <c r="B18" s="8">
        <f>SUM(E5:E9)/B11</f>
        <v/>
      </c>
    </row>
    <row r="19">
      <c r="A19" s="4" t="inlineStr">
        <is>
          <t>Trabalho por unidade</t>
        </is>
      </c>
      <c r="B19" s="8">
        <f>B12/60*B13/B11</f>
        <v/>
      </c>
    </row>
    <row r="20">
      <c r="A20" s="4" t="inlineStr">
        <is>
          <t>Gastos fixos por unidade</t>
        </is>
      </c>
      <c r="B20" s="8">
        <f>B12/60*B14/B11</f>
        <v/>
      </c>
    </row>
    <row r="21">
      <c r="A21" s="2" t="inlineStr">
        <is>
          <t>CUSTO REAL POR UNIDADE</t>
        </is>
      </c>
      <c r="B21" s="8">
        <f>SUM(B18:B20)</f>
        <v/>
      </c>
    </row>
    <row r="22">
      <c r="A22" s="4" t="inlineStr">
        <is>
          <t>Preço mínimo</t>
        </is>
      </c>
      <c r="B22" s="8">
        <f>ROUNDUP(B21/(1-B15)*2,0)/2</f>
        <v/>
      </c>
    </row>
    <row r="23">
      <c r="A23" s="2" t="inlineStr">
        <is>
          <t>PREÇO SUGERIDO</t>
        </is>
      </c>
      <c r="B23" s="8">
        <f>ROUNDUP(B21/(1-B15-B16)*2,0)/2</f>
        <v/>
      </c>
    </row>
    <row r="24">
      <c r="A24" s="4" t="inlineStr">
        <is>
          <t>Lucro por unidade</t>
        </is>
      </c>
      <c r="B24" s="8">
        <f>B23*(1-B15)-B21</f>
        <v/>
      </c>
    </row>
    <row r="26">
      <c r="A26" s="6" t="inlineStr">
        <is>
          <t>Repare: sem contar o trabalho e os gastos fixos, o custo parece bem menor do que é.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2026-10-24T01:32:14Z</dcterms:created>
  <dcterms:modified xmlns:dcterms="http://purl.org/dc/terms/" xmlns:xsi="http://www.w3.org/2001/XMLSchema-instance" xsi:type="dcterms:W3CDTF">2026-10-24T01:32:14Z</dcterms:modified>
</cp:coreProperties>
</file>